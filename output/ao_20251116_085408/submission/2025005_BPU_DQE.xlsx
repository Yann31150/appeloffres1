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P:\Pole Juridique et Financier\Marches Publics\1- MARCHES DES COMMUNES\SAVERDUN\2025005ALIM DENREES RESTAURATION SCOLAIRE\2025005_ALIM_DC\"/>
    </mc:Choice>
  </mc:AlternateContent>
  <xr:revisionPtr revIDLastSave="0" documentId="13_ncr:1_{8E0EE00F-BB68-4259-9EA4-DA99874E47FB}" xr6:coauthVersionLast="47" xr6:coauthVersionMax="47" xr10:uidLastSave="{00000000-0000-0000-0000-000000000000}"/>
  <bookViews>
    <workbookView xWindow="-120" yWindow="-120" windowWidth="29040" windowHeight="15720" tabRatio="940" firstSheet="8" activeTab="17" xr2:uid="{00000000-000D-0000-FFFF-FFFF00000000}"/>
  </bookViews>
  <sheets>
    <sheet name="L1 fruit" sheetId="14" r:id="rId1"/>
    <sheet name="L2 fruits_AB" sheetId="17" r:id="rId2"/>
    <sheet name="L3 lég" sheetId="16" r:id="rId3"/>
    <sheet name="L4 lég_AB" sheetId="15" r:id="rId4"/>
    <sheet name="L5 ovin" sheetId="46" r:id="rId5"/>
    <sheet name="L6 ovin_AB" sheetId="45" r:id="rId6"/>
    <sheet name="L7 bovin" sheetId="29" r:id="rId7"/>
    <sheet name="L8 bovin_AB" sheetId="28" r:id="rId8"/>
    <sheet name="L9 porc" sheetId="30" r:id="rId9"/>
    <sheet name="L10 porc_AB" sheetId="33" r:id="rId10"/>
    <sheet name="L11 vol" sheetId="43" r:id="rId11"/>
    <sheet name="L12 vol_AB" sheetId="42" r:id="rId12"/>
    <sheet name="L13_legumin_huile_AB" sheetId="25" r:id="rId13"/>
    <sheet name="L14_pate_fraich_ARTISANAL" sheetId="31" r:id="rId14"/>
    <sheet name="L15_ yaourt_ab_fermiers" sheetId="35" r:id="rId15"/>
    <sheet name="L16_from_artisanal" sheetId="40" r:id="rId16"/>
    <sheet name="L17_from_artisanal _ab" sheetId="57" r:id="rId17"/>
    <sheet name="L18_PRODUIT_LAITIER_AB" sheetId="54" r:id="rId18"/>
    <sheet name="L19_EPICERIE" sheetId="49" r:id="rId19"/>
    <sheet name="L20_EPICERIE_AB" sheetId="47" r:id="rId20"/>
    <sheet name="L21_surg" sheetId="32" r:id="rId21"/>
    <sheet name="L22_surg AB" sheetId="53" r:id="rId22"/>
    <sheet name="L23_glaces_artisanales" sheetId="58" r:id="rId23"/>
    <sheet name="L24_poisson_frais" sheetId="59" r:id="rId24"/>
  </sheets>
  <definedNames>
    <definedName name="_xlnm._FilterDatabase" localSheetId="9" hidden="1">'L10 porc_AB'!#REF!</definedName>
    <definedName name="_xlnm._FilterDatabase" localSheetId="20" hidden="1">L21_surg!$B$6:$XFA$6</definedName>
    <definedName name="_xlnm._FilterDatabase" localSheetId="21" hidden="1">'L22_surg AB'!$B$6:$XFA$6</definedName>
    <definedName name="_xlnm._FilterDatabase" localSheetId="2" hidden="1">'L3 lég'!#REF!</definedName>
    <definedName name="_xlnm._FilterDatabase" localSheetId="8" hidden="1">'L9 porc'!#REF!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54" l="1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10" i="32"/>
  <c r="F11" i="32"/>
  <c r="F12" i="32"/>
  <c r="F13" i="32"/>
  <c r="F14" i="32"/>
  <c r="F15" i="32"/>
  <c r="F16" i="32"/>
  <c r="F17" i="32"/>
  <c r="F18" i="32"/>
  <c r="F19" i="32"/>
  <c r="F8" i="32"/>
  <c r="F9" i="32"/>
  <c r="F42" i="47"/>
  <c r="F43" i="47"/>
  <c r="F44" i="47"/>
  <c r="F45" i="47"/>
  <c r="F46" i="47"/>
  <c r="F47" i="47"/>
  <c r="F48" i="47"/>
  <c r="F49" i="47"/>
  <c r="F50" i="47"/>
  <c r="F51" i="47"/>
  <c r="F52" i="47"/>
  <c r="F53" i="47"/>
  <c r="F54" i="47"/>
  <c r="F55" i="47"/>
  <c r="F56" i="47"/>
  <c r="F57" i="47"/>
  <c r="F58" i="47"/>
  <c r="F59" i="47"/>
  <c r="F60" i="47"/>
  <c r="F61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39" i="47"/>
  <c r="F40" i="47"/>
  <c r="F41" i="47"/>
  <c r="F7" i="32"/>
  <c r="F8" i="59"/>
  <c r="F9" i="59"/>
  <c r="F10" i="59"/>
  <c r="F11" i="59"/>
  <c r="F12" i="59"/>
  <c r="F13" i="59"/>
  <c r="F14" i="59"/>
  <c r="F7" i="45"/>
  <c r="F8" i="45" s="1"/>
  <c r="F9" i="45" s="1"/>
  <c r="F10" i="45" l="1"/>
  <c r="F7" i="59" l="1"/>
  <c r="F15" i="59" s="1"/>
  <c r="F7" i="58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6" i="53"/>
  <c r="F27" i="53"/>
  <c r="F28" i="53"/>
  <c r="F29" i="53"/>
  <c r="F30" i="53"/>
  <c r="F31" i="53"/>
  <c r="F32" i="53"/>
  <c r="F33" i="53"/>
  <c r="F34" i="53"/>
  <c r="F35" i="53"/>
  <c r="F36" i="53"/>
  <c r="F7" i="53"/>
  <c r="F62" i="47"/>
  <c r="F63" i="47"/>
  <c r="F64" i="47"/>
  <c r="F65" i="47"/>
  <c r="F66" i="47"/>
  <c r="F7" i="47"/>
  <c r="F26" i="49"/>
  <c r="F27" i="49"/>
  <c r="F28" i="49"/>
  <c r="F29" i="49"/>
  <c r="F30" i="49"/>
  <c r="F31" i="49"/>
  <c r="F32" i="49"/>
  <c r="F33" i="49"/>
  <c r="F34" i="49"/>
  <c r="F35" i="49"/>
  <c r="F36" i="49"/>
  <c r="F37" i="49"/>
  <c r="F38" i="49"/>
  <c r="F39" i="49"/>
  <c r="F40" i="49"/>
  <c r="F41" i="49"/>
  <c r="F42" i="49"/>
  <c r="F43" i="49"/>
  <c r="F44" i="49"/>
  <c r="F45" i="49"/>
  <c r="F46" i="49"/>
  <c r="F47" i="49"/>
  <c r="F48" i="49"/>
  <c r="F49" i="49"/>
  <c r="F50" i="49"/>
  <c r="F51" i="49"/>
  <c r="F55" i="49"/>
  <c r="F56" i="49"/>
  <c r="F57" i="49"/>
  <c r="F61" i="49"/>
  <c r="F62" i="49"/>
  <c r="F63" i="49"/>
  <c r="F64" i="49"/>
  <c r="F65" i="49"/>
  <c r="F66" i="49"/>
  <c r="F67" i="49"/>
  <c r="F68" i="49"/>
  <c r="F69" i="49"/>
  <c r="F70" i="49"/>
  <c r="F71" i="49"/>
  <c r="F72" i="49"/>
  <c r="F73" i="49"/>
  <c r="F74" i="49"/>
  <c r="F75" i="49"/>
  <c r="F8" i="54"/>
  <c r="F9" i="54"/>
  <c r="F10" i="54"/>
  <c r="F11" i="54"/>
  <c r="F12" i="54"/>
  <c r="F14" i="54"/>
  <c r="F15" i="54"/>
  <c r="F16" i="54"/>
  <c r="F7" i="54"/>
  <c r="F8" i="57"/>
  <c r="F9" i="57"/>
  <c r="F10" i="57"/>
  <c r="F7" i="57"/>
  <c r="F8" i="40"/>
  <c r="F9" i="40"/>
  <c r="F10" i="40"/>
  <c r="F7" i="40"/>
  <c r="F8" i="35"/>
  <c r="F7" i="35"/>
  <c r="F8" i="31"/>
  <c r="F9" i="31"/>
  <c r="F7" i="31"/>
  <c r="F8" i="25"/>
  <c r="F9" i="25"/>
  <c r="F10" i="25"/>
  <c r="F7" i="25"/>
  <c r="F8" i="42"/>
  <c r="F9" i="42"/>
  <c r="F10" i="42"/>
  <c r="F7" i="42"/>
  <c r="F8" i="43"/>
  <c r="F9" i="43"/>
  <c r="F10" i="43"/>
  <c r="F7" i="43"/>
  <c r="F11" i="43" s="1"/>
  <c r="F8" i="33"/>
  <c r="F9" i="33"/>
  <c r="F10" i="33"/>
  <c r="F11" i="33"/>
  <c r="F12" i="33"/>
  <c r="F7" i="33"/>
  <c r="F13" i="33" s="1"/>
  <c r="F8" i="30"/>
  <c r="F9" i="30"/>
  <c r="F10" i="30"/>
  <c r="F11" i="30"/>
  <c r="F12" i="30"/>
  <c r="F7" i="30"/>
  <c r="F8" i="28"/>
  <c r="F9" i="28"/>
  <c r="F10" i="28"/>
  <c r="F11" i="28"/>
  <c r="F7" i="28"/>
  <c r="F8" i="29"/>
  <c r="F9" i="29"/>
  <c r="F10" i="29"/>
  <c r="F11" i="29"/>
  <c r="F7" i="29"/>
  <c r="F7" i="46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7" i="15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7" i="16"/>
  <c r="F8" i="14"/>
  <c r="F9" i="14"/>
  <c r="F10" i="14"/>
  <c r="F12" i="14"/>
  <c r="F13" i="14"/>
  <c r="F14" i="14"/>
  <c r="F15" i="14"/>
  <c r="F16" i="14"/>
  <c r="F17" i="14"/>
  <c r="F18" i="14"/>
  <c r="F19" i="14"/>
  <c r="F20" i="14"/>
  <c r="F21" i="14"/>
  <c r="F7" i="14"/>
  <c r="F7" i="17"/>
  <c r="F10" i="17"/>
  <c r="F12" i="17"/>
  <c r="F13" i="17"/>
  <c r="F14" i="17"/>
  <c r="F15" i="17"/>
  <c r="F16" i="17"/>
  <c r="F17" i="17"/>
  <c r="F18" i="17"/>
  <c r="F19" i="17"/>
  <c r="F20" i="17"/>
  <c r="F21" i="17"/>
  <c r="F8" i="17"/>
  <c r="F9" i="17"/>
  <c r="F11" i="25" l="1"/>
  <c r="F12" i="25" s="1"/>
  <c r="F13" i="25" s="1"/>
  <c r="F9" i="46"/>
  <c r="F8" i="46"/>
  <c r="F13" i="30"/>
  <c r="F11" i="42"/>
  <c r="F10" i="31"/>
  <c r="F32" i="15"/>
  <c r="F34" i="16"/>
  <c r="F11" i="57"/>
  <c r="F12" i="57" s="1"/>
  <c r="F13" i="57" s="1"/>
  <c r="F12" i="40"/>
  <c r="F13" i="40" s="1"/>
  <c r="F11" i="40"/>
  <c r="F13" i="29"/>
  <c r="F14" i="29" s="1"/>
  <c r="F12" i="29"/>
  <c r="F12" i="28"/>
  <c r="F9" i="35"/>
  <c r="F10" i="35" s="1"/>
  <c r="F11" i="35" s="1"/>
  <c r="F37" i="53"/>
  <c r="F38" i="53" s="1"/>
  <c r="F39" i="53" s="1"/>
  <c r="F67" i="47"/>
  <c r="F68" i="47" s="1"/>
  <c r="F43" i="32"/>
  <c r="F44" i="32" s="1"/>
  <c r="F45" i="32" s="1"/>
  <c r="F8" i="58"/>
  <c r="F9" i="58" s="1"/>
  <c r="F10" i="58" s="1"/>
  <c r="F17" i="54"/>
  <c r="F18" i="54" s="1"/>
  <c r="F19" i="54" s="1"/>
  <c r="F14" i="30"/>
  <c r="F15" i="30" s="1"/>
  <c r="F14" i="33"/>
  <c r="F15" i="33" s="1"/>
  <c r="F35" i="16"/>
  <c r="F16" i="59"/>
  <c r="F17" i="59" s="1"/>
  <c r="F12" i="42"/>
  <c r="F12" i="43"/>
  <c r="F13" i="43" s="1"/>
  <c r="F13" i="28"/>
  <c r="F14" i="28" s="1"/>
  <c r="F10" i="46"/>
  <c r="F69" i="47" l="1"/>
  <c r="F13" i="42"/>
  <c r="F33" i="15"/>
  <c r="F34" i="15" s="1"/>
  <c r="F36" i="16"/>
  <c r="D59" i="49"/>
  <c r="D53" i="49"/>
  <c r="F53" i="49" s="1"/>
  <c r="D54" i="49"/>
  <c r="F54" i="49" s="1"/>
  <c r="D58" i="49"/>
  <c r="F58" i="49" s="1"/>
  <c r="D52" i="49"/>
  <c r="F52" i="49" s="1"/>
  <c r="D8" i="49"/>
  <c r="F8" i="49" s="1"/>
  <c r="D9" i="49"/>
  <c r="F9" i="49" s="1"/>
  <c r="D10" i="49"/>
  <c r="F10" i="49" s="1"/>
  <c r="D11" i="49"/>
  <c r="F11" i="49" s="1"/>
  <c r="D12" i="49"/>
  <c r="F12" i="49" s="1"/>
  <c r="D13" i="49"/>
  <c r="F13" i="49" s="1"/>
  <c r="D14" i="49"/>
  <c r="F14" i="49" s="1"/>
  <c r="D15" i="49"/>
  <c r="F15" i="49" s="1"/>
  <c r="D16" i="49"/>
  <c r="F16" i="49" s="1"/>
  <c r="D17" i="49"/>
  <c r="F17" i="49" s="1"/>
  <c r="D18" i="49"/>
  <c r="F18" i="49" s="1"/>
  <c r="D19" i="49"/>
  <c r="F19" i="49" s="1"/>
  <c r="D20" i="49"/>
  <c r="F20" i="49" s="1"/>
  <c r="D21" i="49"/>
  <c r="F21" i="49" s="1"/>
  <c r="D22" i="49"/>
  <c r="F22" i="49" s="1"/>
  <c r="D23" i="49"/>
  <c r="F23" i="49" s="1"/>
  <c r="D24" i="49"/>
  <c r="F24" i="49" s="1"/>
  <c r="D25" i="49"/>
  <c r="F25" i="49" s="1"/>
  <c r="D7" i="49"/>
  <c r="F7" i="49" s="1"/>
  <c r="D60" i="49" l="1"/>
  <c r="F60" i="49" s="1"/>
  <c r="F59" i="49"/>
  <c r="D11" i="14"/>
  <c r="F11" i="14" s="1"/>
  <c r="F22" i="14" s="1"/>
  <c r="D11" i="17"/>
  <c r="F11" i="17" s="1"/>
  <c r="F76" i="49" l="1"/>
  <c r="F77" i="49" s="1"/>
  <c r="F22" i="17"/>
  <c r="F23" i="17" s="1"/>
  <c r="F24" i="17" s="1"/>
  <c r="F23" i="14"/>
  <c r="F24" i="14" s="1"/>
  <c r="F11" i="31"/>
  <c r="F12" i="31" s="1"/>
  <c r="F78" i="49" l="1"/>
</calcChain>
</file>

<file path=xl/sharedStrings.xml><?xml version="1.0" encoding="utf-8"?>
<sst xmlns="http://schemas.openxmlformats.org/spreadsheetml/2006/main" count="1620" uniqueCount="711">
  <si>
    <t>CHOU BLANC ou ROUGE</t>
  </si>
  <si>
    <t>EPINARDS</t>
  </si>
  <si>
    <t>KG</t>
  </si>
  <si>
    <t>AVOCATS</t>
  </si>
  <si>
    <t>BANANES</t>
  </si>
  <si>
    <t>CITRONS JAUNES</t>
  </si>
  <si>
    <t>ABRICOTS</t>
  </si>
  <si>
    <t>CLEMENTINES</t>
  </si>
  <si>
    <t>FRAISES BARQUETTE</t>
  </si>
  <si>
    <t>MELONS</t>
  </si>
  <si>
    <t>ORANGES</t>
  </si>
  <si>
    <t>PASTEQUES</t>
  </si>
  <si>
    <t>POIRES</t>
  </si>
  <si>
    <t>POMME</t>
  </si>
  <si>
    <t>UNITE</t>
  </si>
  <si>
    <t>ENDIVES</t>
  </si>
  <si>
    <t>CAROTTES</t>
  </si>
  <si>
    <t xml:space="preserve">CELERI BRANCHE </t>
  </si>
  <si>
    <t>CELERI RAVE</t>
  </si>
  <si>
    <t>CHOU VERT</t>
  </si>
  <si>
    <t>CHOU-FLEUR</t>
  </si>
  <si>
    <t>COURGETTES</t>
  </si>
  <si>
    <t xml:space="preserve">CONCOMBRES </t>
  </si>
  <si>
    <t>FENOUIL</t>
  </si>
  <si>
    <t xml:space="preserve">POIREAUX </t>
  </si>
  <si>
    <t>POTIRON</t>
  </si>
  <si>
    <t>ECHALOTES</t>
  </si>
  <si>
    <t>RADIS BOTTES</t>
  </si>
  <si>
    <t xml:space="preserve">PATATES DOUCES </t>
  </si>
  <si>
    <t>BUTTERNUT</t>
  </si>
  <si>
    <t>POIS CHICHES</t>
  </si>
  <si>
    <t>CHAIR A SAUCISSE</t>
  </si>
  <si>
    <t>PATES FRAICHES LASAGNE</t>
  </si>
  <si>
    <t>RAVIOLIS FRAIS</t>
  </si>
  <si>
    <t>PATES FRAICHES</t>
  </si>
  <si>
    <t>YAOURT NATURE</t>
  </si>
  <si>
    <t>ŒUFS ENTIERS LIQUIDES</t>
  </si>
  <si>
    <t>BLANC ŒUF LIQUIDE</t>
  </si>
  <si>
    <t>OMELETTE</t>
  </si>
  <si>
    <t>TOMME VACHE</t>
  </si>
  <si>
    <t>SAINT PATERNE</t>
  </si>
  <si>
    <t>BETHMALE</t>
  </si>
  <si>
    <t>SAUTE/BOURGUIGNON BŒUF (25/40G)</t>
  </si>
  <si>
    <t>HACHE VEAU</t>
  </si>
  <si>
    <t>HACHE BŒUF</t>
  </si>
  <si>
    <t>SAUTE VEAU BLANQUETTE (25/40G)</t>
  </si>
  <si>
    <t>STEACK HACHE BŒUF (80/120G)</t>
  </si>
  <si>
    <t>SAUCISSE DE PORC</t>
  </si>
  <si>
    <t>SAUTE DE PORC</t>
  </si>
  <si>
    <t>ROTI ECHINE</t>
  </si>
  <si>
    <t>ESCALOPE DE PORC</t>
  </si>
  <si>
    <t>SAUCISSE DE PORC AB</t>
  </si>
  <si>
    <t>ESCALOPE DE PORC AB</t>
  </si>
  <si>
    <t>SAUTE DE PORC AB</t>
  </si>
  <si>
    <t>ROTI ECHINE AB</t>
  </si>
  <si>
    <t>CHAIR A SAUCISSE AB</t>
  </si>
  <si>
    <t>JAMBON BLANC</t>
  </si>
  <si>
    <t>SAUTE POULET AB</t>
  </si>
  <si>
    <t>PILON POULET</t>
  </si>
  <si>
    <t>POULET PAC ENTIER AB</t>
  </si>
  <si>
    <t>SAUTE AGNEAU</t>
  </si>
  <si>
    <t>PILON POULET AB</t>
  </si>
  <si>
    <t xml:space="preserve">SAUTE POULET </t>
  </si>
  <si>
    <t>KIWIS</t>
  </si>
  <si>
    <t>NECTARINES BLANCHES / JAUNES</t>
  </si>
  <si>
    <t>PECHES BLANCHES / JAUNES</t>
  </si>
  <si>
    <t>RAISIN BLANC / ROUGE</t>
  </si>
  <si>
    <t xml:space="preserve">POULET PAC ENTIER </t>
  </si>
  <si>
    <t>SAUTE AGNEAU AB</t>
  </si>
  <si>
    <t>Brie</t>
  </si>
  <si>
    <t>camembert</t>
  </si>
  <si>
    <t>Saint Moret</t>
  </si>
  <si>
    <t>Vache qui rit</t>
  </si>
  <si>
    <t>emmental rapé</t>
  </si>
  <si>
    <t>emmental tranche</t>
  </si>
  <si>
    <t>PATES BLANCHES</t>
  </si>
  <si>
    <t>PATES SEMI_COMPLETES</t>
  </si>
  <si>
    <t>RIZ BLANC</t>
  </si>
  <si>
    <t>RIZ SEMI-COMPLET</t>
  </si>
  <si>
    <t>RIZ CAMARGUE</t>
  </si>
  <si>
    <t>RIZ THAI</t>
  </si>
  <si>
    <t>RIE BASMATI</t>
  </si>
  <si>
    <t>RIZ ROND RISOTTO</t>
  </si>
  <si>
    <t>SEMOULE</t>
  </si>
  <si>
    <t>QUINOA</t>
  </si>
  <si>
    <t>SEMOULE SEMI-COMPLETE</t>
  </si>
  <si>
    <t>PUREE FLOCONS</t>
  </si>
  <si>
    <t>SPAETZEL</t>
  </si>
  <si>
    <t>CHIPS</t>
  </si>
  <si>
    <t>COULIS TOMATE</t>
  </si>
  <si>
    <t>FARINE</t>
  </si>
  <si>
    <t>HUILE OLIVE</t>
  </si>
  <si>
    <t>HUILE COLZA</t>
  </si>
  <si>
    <t>HUILE FRITURE</t>
  </si>
  <si>
    <t>HUILE SESAME</t>
  </si>
  <si>
    <t>HUILE ARACHIDE</t>
  </si>
  <si>
    <t>VINAIGRE DE VIN</t>
  </si>
  <si>
    <t>VINAIGRE DE CIDRE</t>
  </si>
  <si>
    <t>HUILE DE NOIX</t>
  </si>
  <si>
    <t>SEL FIN</t>
  </si>
  <si>
    <t xml:space="preserve">THYM </t>
  </si>
  <si>
    <t>ORIGAN</t>
  </si>
  <si>
    <t>CURRY</t>
  </si>
  <si>
    <t>CURCUMA</t>
  </si>
  <si>
    <t>LAURIER</t>
  </si>
  <si>
    <t>CUMIN</t>
  </si>
  <si>
    <t>POIVRE NOIR</t>
  </si>
  <si>
    <t>MOUTARDE</t>
  </si>
  <si>
    <t>MAYONNAISE</t>
  </si>
  <si>
    <t>CONCENTRE DE TOMATE</t>
  </si>
  <si>
    <t>KETCHUP</t>
  </si>
  <si>
    <t>MUSCADE</t>
  </si>
  <si>
    <t>VERMICELLE</t>
  </si>
  <si>
    <t>CORIANDRE</t>
  </si>
  <si>
    <t>ROMARIN</t>
  </si>
  <si>
    <t>RAZ EL ANOUTH</t>
  </si>
  <si>
    <t>PIMENT ESPELETTE</t>
  </si>
  <si>
    <t>OLIVES VERTES</t>
  </si>
  <si>
    <t>OLIVES NOIRES</t>
  </si>
  <si>
    <t>POLENTA</t>
  </si>
  <si>
    <t>THON EN POCHE</t>
  </si>
  <si>
    <t>SARDINES EN BOITE</t>
  </si>
  <si>
    <t>CROZET</t>
  </si>
  <si>
    <t>HARICOTS ROUGES</t>
  </si>
  <si>
    <t>POIS CHICHES APERIZES 5/1</t>
  </si>
  <si>
    <t>HARICOTS ROUGES 5/1</t>
  </si>
  <si>
    <t>HARICOT BLANC 5/1</t>
  </si>
  <si>
    <t>LENTILLES SECHES</t>
  </si>
  <si>
    <t>SUCRE BLOND</t>
  </si>
  <si>
    <t>SUCRE BLANC</t>
  </si>
  <si>
    <t>LEVURE CHIMIQUE</t>
  </si>
  <si>
    <t>GELATINE BOVINE</t>
  </si>
  <si>
    <t>BARRE DE CHOCOLAT NOIR</t>
  </si>
  <si>
    <t>TABLETTES DE CHOCOLAT NOIR</t>
  </si>
  <si>
    <t>AMANDE EN POUDRE</t>
  </si>
  <si>
    <t>SUCRE VANILLE</t>
  </si>
  <si>
    <t>HUILE TOURNESOL</t>
  </si>
  <si>
    <t>LITRES</t>
  </si>
  <si>
    <t>MOUTARDE ANCIENNE</t>
  </si>
  <si>
    <t>POIS CHICHES APERTIZES 5/1</t>
  </si>
  <si>
    <t>HARICOTS ROUGES APERTIZES 5/1</t>
  </si>
  <si>
    <t>LENTILLES APERTIZES</t>
  </si>
  <si>
    <t>COMPTES POT 100 GRS POMMES/ABRICOT</t>
  </si>
  <si>
    <t>COMPOTES POT 100 GRS POMME</t>
  </si>
  <si>
    <t>COMPOTE POT 100 GRS POMMES/ BANANE</t>
  </si>
  <si>
    <t>COMPOTE POT 100 GRS POMMES/FRAISES</t>
  </si>
  <si>
    <t>VINAIGRE BALSAMIQUE IGP</t>
  </si>
  <si>
    <t>SALADE</t>
  </si>
  <si>
    <t>CHAMPIGNONS</t>
  </si>
  <si>
    <t>NAVETS</t>
  </si>
  <si>
    <t xml:space="preserve">OIGNONS SEC </t>
  </si>
  <si>
    <t>POIVRONS</t>
  </si>
  <si>
    <t>POTIMARRON</t>
  </si>
  <si>
    <t>POMMES DE TERRE</t>
  </si>
  <si>
    <t>TOMATES</t>
  </si>
  <si>
    <t>TOMATES CERISES/COCKTAIL</t>
  </si>
  <si>
    <t>AUBERGINES</t>
  </si>
  <si>
    <t>FRITES</t>
  </si>
  <si>
    <t>STEAK HACHE BOEUF 20% MG 45 G</t>
  </si>
  <si>
    <t>NUGGETS POULET</t>
  </si>
  <si>
    <t>POISSON PANE PLEIN FILET</t>
  </si>
  <si>
    <t>BOULETTE BŒUF</t>
  </si>
  <si>
    <t>LEGUMES POTAGE</t>
  </si>
  <si>
    <t>PLAQUE PAIN MIE</t>
  </si>
  <si>
    <t>SAUTE POULET</t>
  </si>
  <si>
    <t>RATATOUILLE</t>
  </si>
  <si>
    <t>MELANGE COUSCOUS</t>
  </si>
  <si>
    <t>CUBE FILET POISSON</t>
  </si>
  <si>
    <t>HAUT DE CUISSE DE POULET</t>
  </si>
  <si>
    <t>FILET SAUMON</t>
  </si>
  <si>
    <t>VIANDE BOEUF EGRAINEE 15% MG</t>
  </si>
  <si>
    <t>OIGNONS EMINCES</t>
  </si>
  <si>
    <t>EGRENE VEGETAL</t>
  </si>
  <si>
    <t>DES TOMATE</t>
  </si>
  <si>
    <t>FILET POULET</t>
  </si>
  <si>
    <t>PLAQUE FEUILLETEE CRUE</t>
  </si>
  <si>
    <t>POIVRONS TRICOLORES</t>
  </si>
  <si>
    <t>SOUPE POISSON</t>
  </si>
  <si>
    <t>POMMES DE TERRE RISSOLLEES</t>
  </si>
  <si>
    <t>UNITES</t>
  </si>
  <si>
    <t>ECHALOTE CISELEE</t>
  </si>
  <si>
    <t>ESCALOPE PANEE POULET</t>
  </si>
  <si>
    <t>CORDON BLEU POULET</t>
  </si>
  <si>
    <t xml:space="preserve">PETIT OIGNON BLANC </t>
  </si>
  <si>
    <t>Churros natures</t>
  </si>
  <si>
    <t>Mini choux fourré</t>
  </si>
  <si>
    <t xml:space="preserve">Mini pain brioché 10g </t>
  </si>
  <si>
    <t>BEIGNETS CHOCOLAT NOISETTE</t>
  </si>
  <si>
    <t>Pain chococolat PUR BEURRE 80g</t>
  </si>
  <si>
    <t>Croissant PUR BEURRE 60g</t>
  </si>
  <si>
    <t>Mini pain raisin PUR BEURRE 35g</t>
  </si>
  <si>
    <t>Mini pain choco PUR BEURRE 25g</t>
  </si>
  <si>
    <t>Mini croissant PUR BEURRE 25g</t>
  </si>
  <si>
    <t>PORC ECHINE</t>
  </si>
  <si>
    <t>COCKTAIL FRUITS DE MER</t>
  </si>
  <si>
    <t>EFFILOCHE CANARD CONFIT</t>
  </si>
  <si>
    <t>PLAQUE DE PIZZA TOMATE</t>
  </si>
  <si>
    <t>PERSIL COUPE</t>
  </si>
  <si>
    <t>NAVET CUBES</t>
  </si>
  <si>
    <t>PAIN PITA 110 GRS</t>
  </si>
  <si>
    <t>PETITS POIS France</t>
  </si>
  <si>
    <t>UNTE</t>
  </si>
  <si>
    <t>TOMME CHEVRE FERMIERE</t>
  </si>
  <si>
    <t>QUANTITES ESTIMATIVES / AN</t>
  </si>
  <si>
    <t>POT 125 G</t>
  </si>
  <si>
    <t>PRODUIT</t>
  </si>
  <si>
    <t>AUBERGINE AB</t>
  </si>
  <si>
    <t>CAROTTE AB</t>
  </si>
  <si>
    <t>CELERI BRANCHE AB</t>
  </si>
  <si>
    <t>CELERIE RAVE AB</t>
  </si>
  <si>
    <t>CHOUX ROUGES OU BLANCS AB</t>
  </si>
  <si>
    <t>CHOUX VERTS AB</t>
  </si>
  <si>
    <t>CHOUX FLEURS AB</t>
  </si>
  <si>
    <t>CONCOMBRE AB</t>
  </si>
  <si>
    <t>COURGETTE AB</t>
  </si>
  <si>
    <t>CHAMPIGNON AB</t>
  </si>
  <si>
    <t>EPINARDS AB</t>
  </si>
  <si>
    <t>NAVET AB</t>
  </si>
  <si>
    <t>OIGNONS AB</t>
  </si>
  <si>
    <t>ECHALOTTE AB</t>
  </si>
  <si>
    <t>PATATE DOUCE AB</t>
  </si>
  <si>
    <t>POIREAU AB</t>
  </si>
  <si>
    <t>POIVRON AB</t>
  </si>
  <si>
    <t>POTIRON AB</t>
  </si>
  <si>
    <t>BUTTERNUT AB</t>
  </si>
  <si>
    <t>POTIMARRON AB</t>
  </si>
  <si>
    <t>RADIS BOTTE AB</t>
  </si>
  <si>
    <t>SALADE AB</t>
  </si>
  <si>
    <t>TOMATE CERISE/COCKTAIL AB</t>
  </si>
  <si>
    <t>TOMATES AB</t>
  </si>
  <si>
    <t>POMME DE TERRE AB</t>
  </si>
  <si>
    <t>ABRICOTS AB</t>
  </si>
  <si>
    <t>AVOCATS AB</t>
  </si>
  <si>
    <t>BANANES AB</t>
  </si>
  <si>
    <t>CITRONS JAUNES AB</t>
  </si>
  <si>
    <t>CLEMENTINES AB</t>
  </si>
  <si>
    <t>FRAISES AB</t>
  </si>
  <si>
    <t>KIWIS AB</t>
  </si>
  <si>
    <t>MELONS AB</t>
  </si>
  <si>
    <t>NECTARINES BLANCHES/JAUNES  AB</t>
  </si>
  <si>
    <t>ORANGES AB</t>
  </si>
  <si>
    <t>PASTEQUES AB</t>
  </si>
  <si>
    <t>PECHES JAUNES /  BLANCHES AB</t>
  </si>
  <si>
    <t>POIRES AB</t>
  </si>
  <si>
    <t>POMME AB</t>
  </si>
  <si>
    <t>RAISIN BLANC / ROUGE AB</t>
  </si>
  <si>
    <t xml:space="preserve">HARICOT BLANCS </t>
  </si>
  <si>
    <t>YAOURT NATURE SUCRE</t>
  </si>
  <si>
    <t>TOMME VACHE ab</t>
  </si>
  <si>
    <t>SAINT PATERNE ab</t>
  </si>
  <si>
    <t>TOMME CHEVRE FERMIERE ab</t>
  </si>
  <si>
    <t>BETHMALE ab</t>
  </si>
  <si>
    <t>HARICOT BLANC APERTIZES 5/1</t>
  </si>
  <si>
    <t>HARICOTS BLANCS SECS</t>
  </si>
  <si>
    <t>POIS CASSES SECS</t>
  </si>
  <si>
    <t>POIS CHICHES SECS</t>
  </si>
  <si>
    <t>PRIX TOTAL ESTIMATIF ANNUEL HT</t>
  </si>
  <si>
    <t>PRIX TOTAL ESTIMATIF ANNUEL TTC</t>
  </si>
  <si>
    <t>TVA (5,5%)</t>
  </si>
  <si>
    <t>PRIX UNITAIRE HT PAR UNITE</t>
  </si>
  <si>
    <t>JOURS DE LIVRAISONS</t>
  </si>
  <si>
    <t>LUNDI</t>
  </si>
  <si>
    <t>MARDI</t>
  </si>
  <si>
    <t>MERCREDI</t>
  </si>
  <si>
    <t>JEUDI</t>
  </si>
  <si>
    <t>VENDREDI</t>
  </si>
  <si>
    <t>JOURS DE COMMANDE</t>
  </si>
  <si>
    <t>SAUTE VEAU BLANQUETTE AB (25/40G)</t>
  </si>
  <si>
    <t>SAUTE/BOURGUIGNON BŒUF AB (25/40G)</t>
  </si>
  <si>
    <t>HACHE VEAU AB</t>
  </si>
  <si>
    <t>HACHE BŒUF AB</t>
  </si>
  <si>
    <t>STEACK HACHE BŒUF AB (80/120G)</t>
  </si>
  <si>
    <t>JAMBON BLANC AB</t>
  </si>
  <si>
    <t>CHOCOLAT NOIR DESSERT PALET</t>
  </si>
  <si>
    <t>LENTILLES</t>
  </si>
  <si>
    <t>cabillaud pêche durable</t>
  </si>
  <si>
    <t>merlu pêche durable</t>
  </si>
  <si>
    <t>merlu MSC</t>
  </si>
  <si>
    <t>cabillaud MSC</t>
  </si>
  <si>
    <t>Lieu noir durable</t>
  </si>
  <si>
    <t>Lieu noir MSC</t>
  </si>
  <si>
    <t>Colin pêche durable</t>
  </si>
  <si>
    <t>Colin MSC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</si>
  <si>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</si>
  <si>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</si>
  <si>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</si>
  <si>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</si>
  <si>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</si>
  <si>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</si>
  <si>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</si>
  <si>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</si>
  <si>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</si>
  <si>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</si>
  <si>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</si>
  <si>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</si>
  <si>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</si>
  <si>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</si>
  <si>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</si>
  <si>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N°</t>
  </si>
  <si>
    <t>BORDEREAU DES PRIX VALANT DETAIL ESTIMATIF</t>
  </si>
  <si>
    <t>2-2</t>
  </si>
  <si>
    <t>3-3</t>
  </si>
  <si>
    <t>2-1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</si>
  <si>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</si>
  <si>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</si>
  <si>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</si>
  <si>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</si>
  <si>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</si>
  <si>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</si>
  <si>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</si>
  <si>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</si>
  <si>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</si>
  <si>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</si>
  <si>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</si>
  <si>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</si>
  <si>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</si>
  <si>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3-1</t>
  </si>
  <si>
    <t>3-2</t>
  </si>
  <si>
    <t>3-6</t>
  </si>
  <si>
    <t>3-4</t>
  </si>
  <si>
    <t>3-5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</si>
  <si>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</si>
  <si>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</si>
  <si>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</si>
  <si>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</si>
  <si>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</si>
  <si>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</si>
  <si>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</si>
  <si>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</si>
  <si>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</si>
  <si>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</si>
  <si>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</si>
  <si>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</si>
  <si>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</si>
  <si>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</si>
  <si>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</t>
  </si>
  <si>
    <t>3-22</t>
  </si>
  <si>
    <t>3-23</t>
  </si>
  <si>
    <t>3-24</t>
  </si>
  <si>
    <t>3-25</t>
  </si>
  <si>
    <t>3-26</t>
  </si>
  <si>
    <t>3-27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</si>
  <si>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</si>
  <si>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</si>
  <si>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</si>
  <si>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</si>
  <si>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</si>
  <si>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</si>
  <si>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</si>
  <si>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</si>
  <si>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</si>
  <si>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</si>
  <si>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</si>
  <si>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</si>
  <si>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</si>
  <si>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</si>
  <si>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</si>
  <si>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</si>
  <si>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</si>
  <si>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</si>
  <si>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</si>
  <si>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</si>
  <si>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</si>
  <si>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</si>
  <si>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</si>
  <si>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</si>
  <si>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4-25</t>
  </si>
  <si>
    <t>24-1</t>
  </si>
  <si>
    <t>24-2</t>
  </si>
  <si>
    <t>24-3</t>
  </si>
  <si>
    <t>24-4</t>
  </si>
  <si>
    <t>24-5</t>
  </si>
  <si>
    <t>24-6</t>
  </si>
  <si>
    <t>24-7</t>
  </si>
  <si>
    <t>24-8</t>
  </si>
  <si>
    <t>23-1</t>
  </si>
  <si>
    <t>22-1</t>
  </si>
  <si>
    <t>22-2</t>
  </si>
  <si>
    <t>22-3</t>
  </si>
  <si>
    <t>22-4</t>
  </si>
  <si>
    <t>22-5</t>
  </si>
  <si>
    <t>22-6</t>
  </si>
  <si>
    <t>22-7</t>
  </si>
  <si>
    <t>22-8</t>
  </si>
  <si>
    <t>22-9</t>
  </si>
  <si>
    <t>22-10</t>
  </si>
  <si>
    <t>22-11</t>
  </si>
  <si>
    <t>22-12</t>
  </si>
  <si>
    <t>22-13</t>
  </si>
  <si>
    <t>22-14</t>
  </si>
  <si>
    <t>22-15</t>
  </si>
  <si>
    <t>22-16</t>
  </si>
  <si>
    <t>22-17</t>
  </si>
  <si>
    <t>22-18</t>
  </si>
  <si>
    <t>22-19</t>
  </si>
  <si>
    <t>22-20</t>
  </si>
  <si>
    <t>22-21</t>
  </si>
  <si>
    <t>22-22</t>
  </si>
  <si>
    <t>22-23</t>
  </si>
  <si>
    <t>22-24</t>
  </si>
  <si>
    <t>22-25</t>
  </si>
  <si>
    <t>22-26</t>
  </si>
  <si>
    <t>22-27</t>
  </si>
  <si>
    <t>22-28</t>
  </si>
  <si>
    <t>22-29</t>
  </si>
  <si>
    <t>22-30</t>
  </si>
  <si>
    <t>21-1</t>
  </si>
  <si>
    <t>21-2</t>
  </si>
  <si>
    <t>21-3</t>
  </si>
  <si>
    <t>21-4</t>
  </si>
  <si>
    <t>21-5</t>
  </si>
  <si>
    <t>21-6</t>
  </si>
  <si>
    <t>21-7</t>
  </si>
  <si>
    <t>21-8</t>
  </si>
  <si>
    <t>21-9</t>
  </si>
  <si>
    <t>21-10</t>
  </si>
  <si>
    <t>21-11</t>
  </si>
  <si>
    <t>21-12</t>
  </si>
  <si>
    <t>21-13</t>
  </si>
  <si>
    <t>21-14</t>
  </si>
  <si>
    <t>21-15</t>
  </si>
  <si>
    <t>21-16</t>
  </si>
  <si>
    <t>21-17</t>
  </si>
  <si>
    <t>21-18</t>
  </si>
  <si>
    <t>21-19</t>
  </si>
  <si>
    <t>21-20</t>
  </si>
  <si>
    <t>21-21</t>
  </si>
  <si>
    <t>21-22</t>
  </si>
  <si>
    <t>21-23</t>
  </si>
  <si>
    <t>21-24</t>
  </si>
  <si>
    <t>21-25</t>
  </si>
  <si>
    <t>21-26</t>
  </si>
  <si>
    <t>21-27</t>
  </si>
  <si>
    <t>21-28</t>
  </si>
  <si>
    <t>21-29</t>
  </si>
  <si>
    <t>21-30</t>
  </si>
  <si>
    <t>21-31</t>
  </si>
  <si>
    <t>21-32</t>
  </si>
  <si>
    <t>21-33</t>
  </si>
  <si>
    <t>21-34</t>
  </si>
  <si>
    <t>20-1</t>
  </si>
  <si>
    <t>20-2</t>
  </si>
  <si>
    <t>20-3</t>
  </si>
  <si>
    <t>20-4</t>
  </si>
  <si>
    <t>20-5</t>
  </si>
  <si>
    <t>20-6</t>
  </si>
  <si>
    <t>20-7</t>
  </si>
  <si>
    <t>20-8</t>
  </si>
  <si>
    <t>20-9</t>
  </si>
  <si>
    <t>20-10</t>
  </si>
  <si>
    <t>20-11</t>
  </si>
  <si>
    <t>20-12</t>
  </si>
  <si>
    <t>20-13</t>
  </si>
  <si>
    <t>20-14</t>
  </si>
  <si>
    <t>20-15</t>
  </si>
  <si>
    <t>20-16</t>
  </si>
  <si>
    <t>20-17</t>
  </si>
  <si>
    <t>20-18</t>
  </si>
  <si>
    <t>20-19</t>
  </si>
  <si>
    <t>20-20</t>
  </si>
  <si>
    <t>20-21</t>
  </si>
  <si>
    <t>20-22</t>
  </si>
  <si>
    <t>20-23</t>
  </si>
  <si>
    <t>20-24</t>
  </si>
  <si>
    <t>20-25</t>
  </si>
  <si>
    <t>20-26</t>
  </si>
  <si>
    <t>20-27</t>
  </si>
  <si>
    <t>20-28</t>
  </si>
  <si>
    <t>20-29</t>
  </si>
  <si>
    <t>20-30</t>
  </si>
  <si>
    <t>20-31</t>
  </si>
  <si>
    <t>20-32</t>
  </si>
  <si>
    <t>20-33</t>
  </si>
  <si>
    <t>20-34</t>
  </si>
  <si>
    <t>20-35</t>
  </si>
  <si>
    <t>20-36</t>
  </si>
  <si>
    <t>20-37</t>
  </si>
  <si>
    <t>20-38</t>
  </si>
  <si>
    <t>20-39</t>
  </si>
  <si>
    <t>20-40</t>
  </si>
  <si>
    <t>20-41</t>
  </si>
  <si>
    <t>20-42</t>
  </si>
  <si>
    <t>20-43</t>
  </si>
  <si>
    <t>20-44</t>
  </si>
  <si>
    <t>20-45</t>
  </si>
  <si>
    <t>20-46</t>
  </si>
  <si>
    <t>20-47</t>
  </si>
  <si>
    <t>20-48</t>
  </si>
  <si>
    <t>20-49</t>
  </si>
  <si>
    <t>20-50</t>
  </si>
  <si>
    <t>20-51</t>
  </si>
  <si>
    <t>20-52</t>
  </si>
  <si>
    <t>20-53</t>
  </si>
  <si>
    <t>20-54</t>
  </si>
  <si>
    <t>20-55</t>
  </si>
  <si>
    <t>20-56</t>
  </si>
  <si>
    <t>19-1</t>
  </si>
  <si>
    <t>19-2</t>
  </si>
  <si>
    <t>19-3</t>
  </si>
  <si>
    <t>19-4</t>
  </si>
  <si>
    <t>19-5</t>
  </si>
  <si>
    <t>19-6</t>
  </si>
  <si>
    <t>19-7</t>
  </si>
  <si>
    <t>19-8</t>
  </si>
  <si>
    <t>19-9</t>
  </si>
  <si>
    <t>19-10</t>
  </si>
  <si>
    <t>19-11</t>
  </si>
  <si>
    <t>19-12</t>
  </si>
  <si>
    <t>19-13</t>
  </si>
  <si>
    <t>19-14</t>
  </si>
  <si>
    <t>19-15</t>
  </si>
  <si>
    <t>19-16</t>
  </si>
  <si>
    <t>19-17</t>
  </si>
  <si>
    <t>19-18</t>
  </si>
  <si>
    <t>19-19</t>
  </si>
  <si>
    <t>19-20</t>
  </si>
  <si>
    <t>19-21</t>
  </si>
  <si>
    <t>19-22</t>
  </si>
  <si>
    <t>19-23</t>
  </si>
  <si>
    <t>19-24</t>
  </si>
  <si>
    <t>19-25</t>
  </si>
  <si>
    <t>19-26</t>
  </si>
  <si>
    <t>19-27</t>
  </si>
  <si>
    <t>19-28</t>
  </si>
  <si>
    <t>19-29</t>
  </si>
  <si>
    <t>19-30</t>
  </si>
  <si>
    <t>19-31</t>
  </si>
  <si>
    <t>19-32</t>
  </si>
  <si>
    <t>19-33</t>
  </si>
  <si>
    <t>19-34</t>
  </si>
  <si>
    <t>19-35</t>
  </si>
  <si>
    <t>19-36</t>
  </si>
  <si>
    <t>19-37</t>
  </si>
  <si>
    <t>19-38</t>
  </si>
  <si>
    <t>19-39</t>
  </si>
  <si>
    <t>19-40</t>
  </si>
  <si>
    <t>19-41</t>
  </si>
  <si>
    <t>19-42</t>
  </si>
  <si>
    <t>19-43</t>
  </si>
  <si>
    <t>19-44</t>
  </si>
  <si>
    <t>19-45</t>
  </si>
  <si>
    <t>19-46</t>
  </si>
  <si>
    <t>19-47</t>
  </si>
  <si>
    <t>19-48</t>
  </si>
  <si>
    <t>19-49</t>
  </si>
  <si>
    <t>19-50</t>
  </si>
  <si>
    <t>19-51</t>
  </si>
  <si>
    <t>19-52</t>
  </si>
  <si>
    <t>19-53</t>
  </si>
  <si>
    <t>19-54</t>
  </si>
  <si>
    <t>19-55</t>
  </si>
  <si>
    <t>19-56</t>
  </si>
  <si>
    <t>19-57</t>
  </si>
  <si>
    <t>19-58</t>
  </si>
  <si>
    <t>19-59</t>
  </si>
  <si>
    <t>19-60</t>
  </si>
  <si>
    <t>19-61</t>
  </si>
  <si>
    <t>19-62</t>
  </si>
  <si>
    <t>19-63</t>
  </si>
  <si>
    <t>19-64</t>
  </si>
  <si>
    <t>19-65</t>
  </si>
  <si>
    <t>19-66</t>
  </si>
  <si>
    <t>19-67</t>
  </si>
  <si>
    <t>19-68</t>
  </si>
  <si>
    <t>19-69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</si>
  <si>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</si>
  <si>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</si>
  <si>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</si>
  <si>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</si>
  <si>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</si>
  <si>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</si>
  <si>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</si>
  <si>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</si>
  <si>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</si>
  <si>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17-1</t>
  </si>
  <si>
    <t>17-2</t>
  </si>
  <si>
    <t>17-3</t>
  </si>
  <si>
    <t>17-4</t>
  </si>
  <si>
    <t>16-1</t>
  </si>
  <si>
    <t>16-2</t>
  </si>
  <si>
    <t>16-3</t>
  </si>
  <si>
    <t>16-4</t>
  </si>
  <si>
    <t>15-1</t>
  </si>
  <si>
    <t>15-2</t>
  </si>
  <si>
    <t>14-1</t>
  </si>
  <si>
    <t>14-2</t>
  </si>
  <si>
    <t>14-3</t>
  </si>
  <si>
    <t>13-1</t>
  </si>
  <si>
    <t>13-3</t>
  </si>
  <si>
    <t>13-2</t>
  </si>
  <si>
    <t>13-4</t>
  </si>
  <si>
    <t>12-1</t>
  </si>
  <si>
    <t>12-2</t>
  </si>
  <si>
    <t>12-3</t>
  </si>
  <si>
    <t>12-4</t>
  </si>
  <si>
    <t>11-1</t>
  </si>
  <si>
    <t>11-2</t>
  </si>
  <si>
    <t>11-3</t>
  </si>
  <si>
    <t>11-4</t>
  </si>
  <si>
    <t>10-1</t>
  </si>
  <si>
    <t>10-2</t>
  </si>
  <si>
    <t>10-3</t>
  </si>
  <si>
    <t>10-4</t>
  </si>
  <si>
    <t>10-5</t>
  </si>
  <si>
    <t>10-6</t>
  </si>
  <si>
    <t>9-1</t>
  </si>
  <si>
    <t>9-2</t>
  </si>
  <si>
    <t>9-3</t>
  </si>
  <si>
    <t>9-4</t>
  </si>
  <si>
    <t>9-5</t>
  </si>
  <si>
    <t>9-6</t>
  </si>
  <si>
    <t>8-1</t>
  </si>
  <si>
    <t>8-2</t>
  </si>
  <si>
    <t>8-3</t>
  </si>
  <si>
    <t>8-4</t>
  </si>
  <si>
    <t>8-5</t>
  </si>
  <si>
    <t>7-1</t>
  </si>
  <si>
    <t>7-2</t>
  </si>
  <si>
    <t>7-3</t>
  </si>
  <si>
    <t>7-4</t>
  </si>
  <si>
    <t>7-5</t>
  </si>
  <si>
    <t>6-1</t>
  </si>
  <si>
    <t>5-1</t>
  </si>
  <si>
    <t>2025005 - FOURNITURE DE DENREES ALIMENTAIRES - COMMUNE DE SAVERDUN - LOT 01 FRUITS</t>
  </si>
  <si>
    <t>2025005 - FOURNITURE DE DENREES ALIMENTAIRES - COMMUNE DE SAVERDUN - LOT 02 FRUITS AB</t>
  </si>
  <si>
    <t>2025005 - FOURNITURE DE DENREES ALIMENTAIRES - COMMUNE DE SAVERDUN - LOT 03 LEGUMES</t>
  </si>
  <si>
    <t>2025005 - FOURNITURE DE DENREES ALIMENTAIRES - COMMUNE DE SAVERDUN - LOT 04 LEGUMES AB</t>
  </si>
  <si>
    <t>2025005 - FOURNITURE DE DENREES ALIMENTAIRES - COMMUNE DE SAVERDUN - LOT 05 VIANDE OVINE</t>
  </si>
  <si>
    <t>2025005 - FOURNITURE DE DENREES ALIMENTAIRES - COMMUNE DE SAVERDUN - LOT 06 VIANDE OVINE AB</t>
  </si>
  <si>
    <t>2025005 - FOURNITURE DE DENREES ALIMENTAIRES - COMMUNE DE SAVERDUN - LOT 07 VIANDE BOVINE</t>
  </si>
  <si>
    <t>2025005 - FOURNITURE DE DENREES ALIMENTAIRES - COMMUNE DE SAVERDUN - LOT 08 VIANDE BOVINE AB</t>
  </si>
  <si>
    <t>2025005 - FOURNITURE DE DENREES ALIMENTAIRES - COMMUNE DE SAVERDUN - LOT 09 VIANDE PORC ET CHARCUTERIE</t>
  </si>
  <si>
    <t>2025005 - FOURNITURE DE DENREES ALIMENTAIRES - COMMUNE DE SAVERDUN - LOT 10 VIANDE PORC ET CHARCUTERIE AB</t>
  </si>
  <si>
    <t>2025005 - FOURNITURE DE DENREES ALIMENTAIRES - COMMUNE DE SAVERDUN - LOT 11 VIANDE VOLAILLE</t>
  </si>
  <si>
    <t>2025005 - FOURNITURE DE DENREES ALIMENTAIRES - COMMUNE DE SAVERDUN - LOT 12 VIANDE VOLAILLE AB</t>
  </si>
  <si>
    <t>2025005 - FOURNITURE DE DENREES ALIMENTAIRES - COMMUNE DE SAVERDUN - LOT 13 LEGUMINEUSE ET HUILE AB</t>
  </si>
  <si>
    <t>2025005 - FOURNITURE DE DENREES ALIMENTAIRES - COMMUNE DE SAVERDUN - LOT 14 PATES FRAICHES ARTISANALES</t>
  </si>
  <si>
    <t>2025005 - FOURNITURE DE DENREES ALIMENTAIRES - COMMUNE DE SAVERDUN - LOT 15 YAOURTS FERMIERS AB</t>
  </si>
  <si>
    <t>2025005 - FOURNITURE DE DENREES ALIMENTAIRES - COMMUNE DE SAVERDUN - LOT 16 FROMAGES ARTISANAUX</t>
  </si>
  <si>
    <t>2025005 - FOURNITURE DE DENREES ALIMENTAIRES - COMMUNE DE SAVERDUN - LOT 17 FROMAGES ARTISANAUX AB</t>
  </si>
  <si>
    <t>2025005 - FOURNITURE DE DENREES ALIMENTAIRES - COMMUNE DE SAVERDUN - LOT 18 PRODUITS LAITIERS AB</t>
  </si>
  <si>
    <t>2025005 - FOURNITURE DE DENREES ALIMENTAIRES - COMMUNE DE SAVERDUN - LOT 19 EPICERIE</t>
  </si>
  <si>
    <t>2025005 - FOURNITURE DE DENREES ALIMENTAIRES - COMMUNE DE SAVERDUN - LOT 20 EPICERIE AB</t>
  </si>
  <si>
    <t>2025005 - FOURNITURE DE DENREES ALIMENTAIRES - COMMUNE DE SAVERDUN - LOT 21 SURGELE</t>
  </si>
  <si>
    <t>2025005 - FOURNITURE DE DENREES ALIMENTAIRES - COMMUNE DE SAVERDUN - LOT 22 SURGELE AB</t>
  </si>
  <si>
    <t>2025005 - FOURNITURE DE DENREES ALIMENTAIRES - COMMUNE DE SAVERDUN - LOT 23 GLACES ARTISANALES</t>
  </si>
  <si>
    <t>2025005 - FOURNITURE DE DENREES ALIMENTAIRES - COMMUNE DE SAVERDUN - LOT 24 POISSONS FRAIS</t>
  </si>
  <si>
    <t>HAUT DE CUISSE</t>
  </si>
  <si>
    <t>HAUT DE CUISSE AB</t>
  </si>
  <si>
    <t>YAOURT NATURE EN SEAU 5kg</t>
  </si>
  <si>
    <t>unite</t>
  </si>
  <si>
    <t>BROCOLIS FLEURETTE France Sachet 2,5 kg</t>
  </si>
  <si>
    <t>CAROTTE RONDELLE France Sachet 2,5 kg</t>
  </si>
  <si>
    <t>CHAMPIGNONS PARIS France Sachet 2,5 kg</t>
  </si>
  <si>
    <t>CHOU-FLEUR FLEURETTE France Sachet 2,5 kg</t>
  </si>
  <si>
    <t>CIBOULETTE Sachet 2,5 kg</t>
  </si>
  <si>
    <t>COURGETTES France Sachet 2,5 kg</t>
  </si>
  <si>
    <t>HARICOTS VERTS EXTRA FIN France Sachet 2,5 kg</t>
  </si>
  <si>
    <t>MACEDOINE DE LEGUMES Sachet 2,5 kg</t>
  </si>
  <si>
    <t>MAIS DOUX GRAIN Sachet 2,5 kg</t>
  </si>
  <si>
    <t>POIREAU RONDELLE France Sachet 2,5 kg</t>
  </si>
  <si>
    <t>PATATAS BRAVAS Sachet 2,5 kg</t>
  </si>
  <si>
    <t>GLACE CORNETS 120 ml</t>
  </si>
  <si>
    <t>GLACE POT 60 ml</t>
  </si>
  <si>
    <t>YAOURT NATURE 125GRS</t>
  </si>
  <si>
    <t>YAOURT AROMATISES (FRAISE, VANILLE…) 125 GRS</t>
  </si>
  <si>
    <t>YAOURT NATURE 100GRS</t>
  </si>
  <si>
    <t>18-10</t>
  </si>
  <si>
    <t>JAUNE ŒUF LIQUIDE 1L</t>
  </si>
  <si>
    <t>JAUNE ŒUF LIQUIDE 2L</t>
  </si>
  <si>
    <t>JAUNE ŒUF LIQUIDE 5L</t>
  </si>
  <si>
    <t>20-57</t>
  </si>
  <si>
    <t>20-58</t>
  </si>
  <si>
    <t>20-59</t>
  </si>
  <si>
    <t>20-60</t>
  </si>
  <si>
    <t>ŒUF DUR ECALES POCHE DE 4X10</t>
  </si>
  <si>
    <t>ŒUF DUR ECALES SEAU DE 50</t>
  </si>
  <si>
    <t>ŒUF DUR ECALES SEAU DE 75</t>
  </si>
  <si>
    <t>ŒUF DUR ECALES SEAU DE 150</t>
  </si>
  <si>
    <t>ŒUF COQUILLE PLAQUE DE 30 PIECES</t>
  </si>
  <si>
    <t>MOUSSE AU CHOCOLAT 60 GRS</t>
  </si>
  <si>
    <t>FLAN VANILLE NAPPE CARAMEL 100 GRS</t>
  </si>
  <si>
    <t>PAIN KEBAB ROND 110 GRS</t>
  </si>
  <si>
    <t>CREPE FROMENT SALEE 50 GRS</t>
  </si>
  <si>
    <t>21-35</t>
  </si>
  <si>
    <t>PAIN PITA 100 GRS</t>
  </si>
  <si>
    <t>21-36</t>
  </si>
  <si>
    <t xml:space="preserve">PANINI 100 grs </t>
  </si>
  <si>
    <t xml:space="preserve">PANINI 110 grs </t>
  </si>
  <si>
    <t>QUATRE QUART/BARRE BRETONNE/BARRE PATISSIERE 800 GRS</t>
  </si>
  <si>
    <t>COMPOTE GOURDE 90 GRS</t>
  </si>
  <si>
    <t>COOCKIES INDIVIDUELS AU COLIS</t>
  </si>
  <si>
    <t>MADELEINES INDVIDUELLES AU COLIS</t>
  </si>
  <si>
    <t>COOKIES INDIVIDUELS AU COLIS</t>
  </si>
  <si>
    <t xml:space="preserve">BROWNIE PLAQUE 1,7KG </t>
  </si>
  <si>
    <t>PAIN AU LAIT PAQUETS DE 10 AU COLIS</t>
  </si>
  <si>
    <t>MADELEINES INDIVIDUELLES AU COLIS</t>
  </si>
  <si>
    <t>BISCUITS PETITS BEURRE INDIVIDUEL AU COLIS</t>
  </si>
  <si>
    <t>PATE DE FRUITS INDIVIDUELLES AU COLIS</t>
  </si>
  <si>
    <t>BISCUITS PETITS BEURRE INDIVIDUELS AU COLIS</t>
  </si>
  <si>
    <t>GLACE POTs individuels 60ml</t>
  </si>
  <si>
    <t>CONDITIONNEMENT PROPOSE</t>
  </si>
  <si>
    <t>PRIX h.T. DU CONDITIONNEMENT PROPOSE</t>
  </si>
  <si>
    <t>PRIX t.T.c DU CONDITIONNEMENT PROPOSE</t>
  </si>
  <si>
    <t>RIZ BASMATI</t>
  </si>
  <si>
    <t>BEURRE DOUX plaquette 250g</t>
  </si>
  <si>
    <t>BEURRE 1/2 SEL  plaquette 250g</t>
  </si>
  <si>
    <t>LAIT en 1 litre</t>
  </si>
  <si>
    <t>CREME FRAICHE EPAISSE - seau de 5 kg</t>
  </si>
  <si>
    <t>CREME FRAICHE LIQUIDE - en 1 litre</t>
  </si>
  <si>
    <t>FROMAGE BLANC en seau de 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</si>
</sst>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##\ ###\ ##0"/>
    <numFmt numFmtId="165" formatCode="_-* #,##0\ &quot;€&quot;_-;\-* #,##0\ &quot;€&quot;_-;_-* &quot;-&quot;??\ &quot;€&quot;_-;_-@_-"/>
    <numFmt numFmtId="166" formatCode="_-* #,##0.00\ [$€-40C]_-;\-* #,##0.00\ [$€-40C]_-;_-* &quot;-&quot;??\ [$€-40C]_-;_-@_-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scheme val="minor"/>
    </font>
    <font>
      <sz val="11"/>
      <color theme="1"/>
      <name val="Alasassy Caps"/>
    </font>
    <font>
      <b/>
      <sz val="11"/>
      <color theme="1"/>
      <name val="Alasassy Caps"/>
    </font>
    <font>
      <sz val="11"/>
      <name val="Alasassy Caps"/>
    </font>
    <font>
      <b/>
      <sz val="11"/>
      <name val="Alasassy Caps"/>
    </font>
    <font>
      <b/>
      <sz val="11"/>
      <color indexed="10"/>
      <name val="Alasassy Caps"/>
    </font>
    <font>
      <sz val="11"/>
      <color rgb="FFEE0000"/>
      <name val="Alasassy Caps"/>
    </font>
    <font>
      <sz val="11"/>
      <color rgb="FFFF0000"/>
      <name val="Alasassy Caps"/>
    </font>
    <font>
      <b/>
      <sz val="11"/>
      <color rgb="FFFF0000"/>
      <name val="Alasassy Cap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</cellStyleXfs>
  <cellXfs count="58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49" fontId="6" fillId="0" borderId="1" xfId="3" applyNumberFormat="1" applyFont="1" applyBorder="1"/>
    <xf numFmtId="0" fontId="6" fillId="0" borderId="1" xfId="0" applyFont="1" applyBorder="1" applyAlignment="1">
      <alignment horizontal="left" vertical="center" wrapText="1" readingOrder="1"/>
    </xf>
    <xf numFmtId="44" fontId="6" fillId="0" borderId="1" xfId="1" applyFont="1" applyBorder="1"/>
    <xf numFmtId="0" fontId="6" fillId="0" borderId="1" xfId="0" applyFont="1" applyBorder="1"/>
    <xf numFmtId="44" fontId="7" fillId="3" borderId="1" xfId="1" applyFont="1" applyFill="1" applyBorder="1"/>
    <xf numFmtId="49" fontId="0" fillId="0" borderId="0" xfId="0" applyNumberFormat="1"/>
    <xf numFmtId="49" fontId="6" fillId="0" borderId="1" xfId="0" applyNumberFormat="1" applyFont="1" applyBorder="1"/>
    <xf numFmtId="44" fontId="6" fillId="0" borderId="1" xfId="1" applyFont="1" applyBorder="1" applyAlignment="1">
      <alignment horizontal="left" vertical="center" wrapText="1" readingOrder="1"/>
    </xf>
    <xf numFmtId="49" fontId="7" fillId="3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/>
    <xf numFmtId="0" fontId="8" fillId="0" borderId="1" xfId="0" applyFont="1" applyBorder="1" applyAlignment="1">
      <alignment horizontal="left" vertical="center" wrapText="1" readingOrder="1"/>
    </xf>
    <xf numFmtId="1" fontId="8" fillId="0" borderId="1" xfId="0" applyNumberFormat="1" applyFont="1" applyBorder="1" applyAlignment="1">
      <alignment horizontal="right" vertical="center" wrapText="1" readingOrder="1"/>
    </xf>
    <xf numFmtId="44" fontId="6" fillId="0" borderId="1" xfId="0" applyNumberFormat="1" applyFont="1" applyBorder="1"/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 applyProtection="1">
      <alignment horizontal="center"/>
      <protection locked="0"/>
    </xf>
    <xf numFmtId="0" fontId="8" fillId="0" borderId="1" xfId="0" applyFont="1" applyBorder="1"/>
    <xf numFmtId="44" fontId="8" fillId="0" borderId="1" xfId="1" applyFont="1" applyBorder="1"/>
    <xf numFmtId="44" fontId="8" fillId="0" borderId="1" xfId="0" applyNumberFormat="1" applyFont="1" applyBorder="1"/>
    <xf numFmtId="0" fontId="8" fillId="0" borderId="0" xfId="0" applyFont="1"/>
    <xf numFmtId="44" fontId="6" fillId="0" borderId="0" xfId="1" applyFont="1"/>
    <xf numFmtId="166" fontId="6" fillId="0" borderId="1" xfId="0" applyNumberFormat="1" applyFont="1" applyBorder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0" fontId="11" fillId="0" borderId="0" xfId="0" applyFont="1"/>
    <xf numFmtId="0" fontId="6" fillId="0" borderId="1" xfId="0" applyFont="1" applyBorder="1" applyAlignment="1">
      <alignment horizontal="right"/>
    </xf>
    <xf numFmtId="1" fontId="6" fillId="0" borderId="1" xfId="0" applyNumberFormat="1" applyFont="1" applyBorder="1"/>
    <xf numFmtId="165" fontId="6" fillId="0" borderId="1" xfId="1" applyNumberFormat="1" applyFont="1" applyBorder="1"/>
    <xf numFmtId="0" fontId="12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13" fillId="2" borderId="1" xfId="0" applyFont="1" applyFill="1" applyBorder="1" applyAlignment="1">
      <alignment horizontal="center"/>
    </xf>
    <xf numFmtId="0" fontId="13" fillId="2" borderId="1" xfId="0" applyFont="1" applyFill="1" applyBorder="1" applyAlignment="1" applyProtection="1">
      <alignment horizontal="center"/>
      <protection locked="0"/>
    </xf>
    <xf numFmtId="0" fontId="6" fillId="0" borderId="3" xfId="0" applyFont="1" applyBorder="1" applyAlignment="1">
      <alignment vertical="center"/>
    </xf>
    <xf numFmtId="44" fontId="7" fillId="3" borderId="4" xfId="1" applyFont="1" applyFill="1" applyBorder="1"/>
    <xf numFmtId="44" fontId="6" fillId="0" borderId="2" xfId="1" applyFont="1" applyBorder="1"/>
    <xf numFmtId="166" fontId="6" fillId="0" borderId="2" xfId="0" applyNumberFormat="1" applyFont="1" applyBorder="1"/>
    <xf numFmtId="44" fontId="6" fillId="0" borderId="0" xfId="1" applyFont="1" applyBorder="1"/>
    <xf numFmtId="166" fontId="6" fillId="0" borderId="0" xfId="0" applyNumberFormat="1" applyFont="1"/>
    <xf numFmtId="44" fontId="6" fillId="0" borderId="9" xfId="1" applyFont="1" applyBorder="1"/>
    <xf numFmtId="166" fontId="6" fillId="0" borderId="9" xfId="0" applyNumberFormat="1" applyFont="1" applyBorder="1"/>
    <xf numFmtId="0" fontId="13" fillId="2" borderId="4" xfId="0" applyFont="1" applyFill="1" applyBorder="1" applyAlignment="1">
      <alignment horizontal="center"/>
    </xf>
    <xf numFmtId="0" fontId="13" fillId="2" borderId="4" xfId="0" applyFont="1" applyFill="1" applyBorder="1" applyAlignment="1" applyProtection="1">
      <alignment horizontal="center"/>
      <protection locked="0"/>
    </xf>
    <xf numFmtId="0" fontId="10" fillId="2" borderId="4" xfId="0" applyFont="1" applyFill="1" applyBorder="1" applyAlignment="1">
      <alignment horizontal="center"/>
    </xf>
    <xf numFmtId="0" fontId="10" fillId="2" borderId="4" xfId="0" applyFont="1" applyFill="1" applyBorder="1" applyAlignment="1" applyProtection="1">
      <alignment horizontal="center"/>
      <protection locked="0"/>
    </xf>
    <xf numFmtId="0" fontId="7" fillId="3" borderId="1" xfId="0" applyFont="1" applyFill="1" applyBorder="1" applyAlignment="1">
      <alignment horizontal="right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right"/>
    </xf>
    <xf numFmtId="0" fontId="7" fillId="3" borderId="8" xfId="0" applyFont="1" applyFill="1" applyBorder="1" applyAlignment="1">
      <alignment horizontal="right"/>
    </xf>
    <xf numFmtId="0" fontId="7" fillId="3" borderId="3" xfId="0" applyFont="1" applyFill="1" applyBorder="1" applyAlignment="1">
      <alignment horizontal="right"/>
    </xf>
  </cellXfs>
  <cellStyles count="4">
    <cellStyle name="Milliers" xfId="3" builtinId="3"/>
    <cellStyle name="Monétaire" xfId="1" builtinId="4"/>
    <cellStyle name="Normal" xfId="0" builtinId="0"/>
    <cellStyle name="Normal 2" xfId="2" xr:uid="{8A0B5E08-21B6-40CB-A1A1-95A352DEAF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876C-834A-4314-8B91-825A2DB9075F}">
  <dimension ref="A1:M24"/>
  <sheetViews>
    <sheetView topLeftCell="A12" zoomScale="115" zoomScaleNormal="115" workbookViewId="0">
      <selection activeCell="H19" sqref="H19"/>
    </sheetView>
  </sheetViews>
  <sheetFormatPr baseColWidth="10" defaultColWidth="11.42578125" defaultRowHeight="15" x14ac:dyDescent="0.25"/>
  <cols>
    <col min="1" max="1" width="5.140625" style="1" bestFit="1" customWidth="1"/>
    <col min="2" max="2" width="28.85546875" style="1" bestFit="1" customWidth="1"/>
    <col min="3" max="3" width="12.85546875" style="1" customWidth="1"/>
    <col min="4" max="4" width="16.85546875" style="1" customWidth="1"/>
    <col min="5" max="5" width="6.28515625" style="1" bestFit="1" customWidth="1"/>
    <col min="6" max="6" width="20.28515625" style="1" customWidth="1"/>
    <col min="7" max="7" width="11.42578125" style="1"/>
    <col min="8" max="8" width="22.28515625" style="1" bestFit="1" customWidth="1"/>
    <col min="9" max="13" width="10.5703125" style="2" customWidth="1"/>
    <col min="14" max="16384" width="11.42578125" style="1"/>
  </cols>
  <sheetData>
    <row r="1" spans="1:13" ht="6.75" customHeight="1" thickBot="1" x14ac:dyDescent="0.3"/>
    <row r="2" spans="1:13" ht="15.75" thickBot="1" x14ac:dyDescent="0.3">
      <c r="A2" s="52" t="s">
        <v>623</v>
      </c>
      <c r="B2" s="53"/>
      <c r="C2" s="53"/>
      <c r="D2" s="53"/>
      <c r="E2" s="53"/>
      <c r="F2" s="54"/>
    </row>
    <row r="3" spans="1:13" ht="7.5" customHeight="1" thickBot="1" x14ac:dyDescent="0.3"/>
    <row r="4" spans="1:13" ht="15.75" thickBot="1" x14ac:dyDescent="0.3">
      <c r="A4" s="52" t="s">
        <v>299</v>
      </c>
      <c r="B4" s="53"/>
      <c r="C4" s="53"/>
      <c r="D4" s="53"/>
      <c r="E4" s="53"/>
      <c r="F4" s="54"/>
    </row>
    <row r="5" spans="1:13" ht="6" customHeight="1" x14ac:dyDescent="0.25"/>
    <row r="6" spans="1:13" ht="45" customHeight="1" x14ac:dyDescent="0.25">
      <c r="A6" s="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</row>
    <row r="7" spans="1:13" x14ac:dyDescent="0.25">
      <c r="A7" s="5" t="s">
        <v>283</v>
      </c>
      <c r="B7" s="6" t="s">
        <v>6</v>
      </c>
      <c r="C7" s="7">
        <v>0</v>
      </c>
      <c r="D7" s="8">
        <v>50</v>
      </c>
      <c r="E7" s="8" t="s">
        <v>2</v>
      </c>
      <c r="F7" s="7">
        <f>+C7*D7</f>
        <v>0</v>
      </c>
      <c r="H7" s="18" t="s">
        <v>266</v>
      </c>
      <c r="I7" s="19" t="s">
        <v>261</v>
      </c>
      <c r="J7" s="19" t="s">
        <v>262</v>
      </c>
      <c r="K7" s="19" t="s">
        <v>263</v>
      </c>
      <c r="L7" s="19" t="s">
        <v>264</v>
      </c>
      <c r="M7" s="20" t="s">
        <v>265</v>
      </c>
    </row>
    <row r="8" spans="1:13" x14ac:dyDescent="0.25">
      <c r="A8" s="5" t="s">
        <v>284</v>
      </c>
      <c r="B8" s="6" t="s">
        <v>3</v>
      </c>
      <c r="C8" s="7">
        <v>0</v>
      </c>
      <c r="D8" s="8">
        <v>20</v>
      </c>
      <c r="E8" s="8" t="s">
        <v>2</v>
      </c>
      <c r="F8" s="7">
        <f t="shared" ref="F8:F21" si="0">+C8*D8</f>
        <v>0</v>
      </c>
      <c r="H8" s="18" t="s">
        <v>260</v>
      </c>
      <c r="I8" s="20" t="s">
        <v>261</v>
      </c>
      <c r="J8" s="20" t="s">
        <v>262</v>
      </c>
      <c r="K8" s="20" t="s">
        <v>263</v>
      </c>
      <c r="L8" s="20" t="s">
        <v>264</v>
      </c>
      <c r="M8" s="20" t="s">
        <v>265</v>
      </c>
    </row>
    <row r="9" spans="1:13" x14ac:dyDescent="0.25">
      <c r="A9" s="5" t="s">
        <v>285</v>
      </c>
      <c r="B9" s="6" t="s">
        <v>4</v>
      </c>
      <c r="C9" s="7">
        <v>0</v>
      </c>
      <c r="D9" s="8">
        <v>200</v>
      </c>
      <c r="E9" s="8" t="s">
        <v>2</v>
      </c>
      <c r="F9" s="7">
        <f t="shared" si="0"/>
        <v>0</v>
      </c>
    </row>
    <row r="10" spans="1:13" x14ac:dyDescent="0.25">
      <c r="A10" s="5" t="s">
        <v>286</v>
      </c>
      <c r="B10" s="6" t="s">
        <v>5</v>
      </c>
      <c r="C10" s="7">
        <v>0</v>
      </c>
      <c r="D10" s="8">
        <v>40</v>
      </c>
      <c r="E10" s="8" t="s">
        <v>2</v>
      </c>
      <c r="F10" s="7">
        <f t="shared" si="0"/>
        <v>0</v>
      </c>
    </row>
    <row r="11" spans="1:13" x14ac:dyDescent="0.25">
      <c r="A11" s="5" t="s">
        <v>287</v>
      </c>
      <c r="B11" s="6" t="s">
        <v>7</v>
      </c>
      <c r="C11" s="7">
        <v>0</v>
      </c>
      <c r="D11" s="8">
        <f>500*60%</f>
        <v>300</v>
      </c>
      <c r="E11" s="8" t="s">
        <v>2</v>
      </c>
      <c r="F11" s="7">
        <f t="shared" si="0"/>
        <v>0</v>
      </c>
    </row>
    <row r="12" spans="1:13" x14ac:dyDescent="0.25">
      <c r="A12" s="5" t="s">
        <v>288</v>
      </c>
      <c r="B12" s="6" t="s">
        <v>8</v>
      </c>
      <c r="C12" s="7">
        <v>0</v>
      </c>
      <c r="D12" s="8">
        <v>100</v>
      </c>
      <c r="E12" s="8" t="s">
        <v>2</v>
      </c>
      <c r="F12" s="7">
        <f t="shared" si="0"/>
        <v>0</v>
      </c>
    </row>
    <row r="13" spans="1:13" x14ac:dyDescent="0.25">
      <c r="A13" s="5" t="s">
        <v>289</v>
      </c>
      <c r="B13" s="6" t="s">
        <v>63</v>
      </c>
      <c r="C13" s="7">
        <v>0</v>
      </c>
      <c r="D13" s="8">
        <v>50</v>
      </c>
      <c r="E13" s="8" t="s">
        <v>2</v>
      </c>
      <c r="F13" s="7">
        <f t="shared" si="0"/>
        <v>0</v>
      </c>
    </row>
    <row r="14" spans="1:13" x14ac:dyDescent="0.25">
      <c r="A14" s="5" t="s">
        <v>290</v>
      </c>
      <c r="B14" s="6" t="s">
        <v>9</v>
      </c>
      <c r="C14" s="7">
        <v>0</v>
      </c>
      <c r="D14" s="8">
        <v>50</v>
      </c>
      <c r="E14" s="8" t="s">
        <v>2</v>
      </c>
      <c r="F14" s="7">
        <f t="shared" si="0"/>
        <v>0</v>
      </c>
    </row>
    <row r="15" spans="1:13" x14ac:dyDescent="0.25">
      <c r="A15" s="5" t="s">
        <v>291</v>
      </c>
      <c r="B15" s="6" t="s">
        <v>64</v>
      </c>
      <c r="C15" s="7">
        <v>0</v>
      </c>
      <c r="D15" s="8">
        <v>50</v>
      </c>
      <c r="E15" s="8" t="s">
        <v>2</v>
      </c>
      <c r="F15" s="7">
        <f t="shared" si="0"/>
        <v>0</v>
      </c>
    </row>
    <row r="16" spans="1:13" x14ac:dyDescent="0.25">
      <c r="A16" s="5" t="s">
        <v>292</v>
      </c>
      <c r="B16" s="6" t="s">
        <v>10</v>
      </c>
      <c r="C16" s="7">
        <v>0</v>
      </c>
      <c r="D16" s="8">
        <v>100</v>
      </c>
      <c r="E16" s="8" t="s">
        <v>2</v>
      </c>
      <c r="F16" s="7">
        <f t="shared" si="0"/>
        <v>0</v>
      </c>
    </row>
    <row r="17" spans="1:6" x14ac:dyDescent="0.25">
      <c r="A17" s="5" t="s">
        <v>293</v>
      </c>
      <c r="B17" s="6" t="s">
        <v>11</v>
      </c>
      <c r="C17" s="7">
        <v>0</v>
      </c>
      <c r="D17" s="8">
        <v>50</v>
      </c>
      <c r="E17" s="8" t="s">
        <v>2</v>
      </c>
      <c r="F17" s="7">
        <f t="shared" si="0"/>
        <v>0</v>
      </c>
    </row>
    <row r="18" spans="1:6" x14ac:dyDescent="0.25">
      <c r="A18" s="5" t="s">
        <v>294</v>
      </c>
      <c r="B18" s="6" t="s">
        <v>65</v>
      </c>
      <c r="C18" s="7">
        <v>0</v>
      </c>
      <c r="D18" s="8">
        <v>80</v>
      </c>
      <c r="E18" s="8" t="s">
        <v>2</v>
      </c>
      <c r="F18" s="7">
        <f t="shared" si="0"/>
        <v>0</v>
      </c>
    </row>
    <row r="19" spans="1:6" x14ac:dyDescent="0.25">
      <c r="A19" s="5" t="s">
        <v>295</v>
      </c>
      <c r="B19" s="6" t="s">
        <v>12</v>
      </c>
      <c r="C19" s="7">
        <v>0</v>
      </c>
      <c r="D19" s="8">
        <v>50</v>
      </c>
      <c r="E19" s="8" t="s">
        <v>2</v>
      </c>
      <c r="F19" s="7">
        <f t="shared" si="0"/>
        <v>0</v>
      </c>
    </row>
    <row r="20" spans="1:6" x14ac:dyDescent="0.25">
      <c r="A20" s="5" t="s">
        <v>296</v>
      </c>
      <c r="B20" s="6" t="s">
        <v>13</v>
      </c>
      <c r="C20" s="7">
        <v>0</v>
      </c>
      <c r="D20" s="8">
        <v>80</v>
      </c>
      <c r="E20" s="8" t="s">
        <v>2</v>
      </c>
      <c r="F20" s="7">
        <f t="shared" si="0"/>
        <v>0</v>
      </c>
    </row>
    <row r="21" spans="1:6" x14ac:dyDescent="0.25">
      <c r="A21" s="5" t="s">
        <v>297</v>
      </c>
      <c r="B21" s="6" t="s">
        <v>66</v>
      </c>
      <c r="C21" s="7">
        <v>0</v>
      </c>
      <c r="D21" s="8">
        <v>50</v>
      </c>
      <c r="E21" s="8" t="s">
        <v>2</v>
      </c>
      <c r="F21" s="7">
        <f t="shared" si="0"/>
        <v>0</v>
      </c>
    </row>
    <row r="22" spans="1:6" x14ac:dyDescent="0.25">
      <c r="B22" s="51" t="s">
        <v>256</v>
      </c>
      <c r="C22" s="51"/>
      <c r="D22" s="51"/>
      <c r="E22" s="51"/>
      <c r="F22" s="9">
        <f>+SUM(F7:F21)</f>
        <v>0</v>
      </c>
    </row>
    <row r="23" spans="1:6" x14ac:dyDescent="0.25">
      <c r="B23" s="51" t="s">
        <v>258</v>
      </c>
      <c r="C23" s="51"/>
      <c r="D23" s="51"/>
      <c r="E23" s="51"/>
      <c r="F23" s="9">
        <f>+F22*0.055</f>
        <v>0</v>
      </c>
    </row>
    <row r="24" spans="1:6" x14ac:dyDescent="0.25">
      <c r="B24" s="51" t="s">
        <v>257</v>
      </c>
      <c r="C24" s="51"/>
      <c r="D24" s="51"/>
      <c r="E24" s="51"/>
      <c r="F24" s="9">
        <f>+F22+F23</f>
        <v>0</v>
      </c>
    </row>
  </sheetData>
  <sortState xmlns:xlrd2="http://schemas.microsoft.com/office/spreadsheetml/2017/richdata2" ref="B6:C24">
    <sortCondition ref="B6:B24"/>
  </sortState>
  <mergeCells count="5">
    <mergeCell ref="B22:E22"/>
    <mergeCell ref="B23:E23"/>
    <mergeCell ref="B24:E24"/>
    <mergeCell ref="A4:F4"/>
    <mergeCell ref="A2:F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62F0-F4B7-4F62-88AE-CA5541C01C8C}">
  <dimension ref="A1:M24"/>
  <sheetViews>
    <sheetView zoomScale="115" zoomScaleNormal="115" workbookViewId="0">
      <selection activeCell="K21" sqref="K21"/>
    </sheetView>
  </sheetViews>
  <sheetFormatPr baseColWidth="10" defaultRowHeight="15" x14ac:dyDescent="0.25"/>
  <cols>
    <col min="1" max="1" width="5.140625" bestFit="1" customWidth="1"/>
    <col min="2" max="2" width="31.140625" bestFit="1" customWidth="1"/>
    <col min="3" max="3" width="13.28515625" customWidth="1"/>
    <col min="4" max="4" width="16.7109375" customWidth="1"/>
    <col min="5" max="5" width="6.140625" customWidth="1"/>
    <col min="6" max="6" width="20.28515625" customWidth="1"/>
    <col min="8" max="8" width="22.28515625" style="1" bestFit="1" customWidth="1"/>
    <col min="9" max="13" width="10.5703125" style="2" customWidth="1"/>
  </cols>
  <sheetData>
    <row r="1" spans="1:13" s="1" customFormat="1" ht="6.75" customHeight="1" thickBot="1" x14ac:dyDescent="0.3">
      <c r="I1" s="2"/>
      <c r="J1" s="2"/>
      <c r="K1" s="2"/>
      <c r="L1" s="2"/>
      <c r="M1" s="2"/>
    </row>
    <row r="2" spans="1:13" s="1" customFormat="1" ht="15.75" thickBot="1" x14ac:dyDescent="0.3">
      <c r="A2" s="52" t="s">
        <v>624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s="1" customFormat="1" ht="7.5" customHeight="1" thickBot="1" x14ac:dyDescent="0.3">
      <c r="I3" s="2"/>
      <c r="J3" s="2"/>
      <c r="K3" s="2"/>
      <c r="L3" s="2"/>
      <c r="M3" s="2"/>
    </row>
    <row r="4" spans="1:13" s="1" customFormat="1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s="1" customFormat="1" ht="6" customHeight="1" x14ac:dyDescent="0.25">
      <c r="I5" s="2"/>
      <c r="J5" s="2"/>
      <c r="K5" s="2"/>
      <c r="L5" s="2"/>
      <c r="M5" s="2"/>
    </row>
    <row r="6" spans="1:13" ht="30" x14ac:dyDescent="0.25">
      <c r="A6" s="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</row>
    <row r="7" spans="1:13" x14ac:dyDescent="0.25">
      <c r="A7" s="11" t="s">
        <v>302</v>
      </c>
      <c r="B7" s="6" t="s">
        <v>231</v>
      </c>
      <c r="C7" s="12">
        <v>0</v>
      </c>
      <c r="D7" s="8">
        <v>50</v>
      </c>
      <c r="E7" s="8" t="s">
        <v>2</v>
      </c>
      <c r="F7" s="7">
        <f>+C7*D7</f>
        <v>0</v>
      </c>
      <c r="H7" s="18" t="s">
        <v>266</v>
      </c>
      <c r="I7" s="19" t="s">
        <v>261</v>
      </c>
      <c r="J7" s="19" t="s">
        <v>262</v>
      </c>
      <c r="K7" s="19" t="s">
        <v>263</v>
      </c>
      <c r="L7" s="19" t="s">
        <v>264</v>
      </c>
      <c r="M7" s="20" t="s">
        <v>265</v>
      </c>
    </row>
    <row r="8" spans="1:13" x14ac:dyDescent="0.25">
      <c r="A8" s="11" t="s">
        <v>300</v>
      </c>
      <c r="B8" s="6" t="s">
        <v>232</v>
      </c>
      <c r="C8" s="12">
        <v>0</v>
      </c>
      <c r="D8" s="8">
        <v>20</v>
      </c>
      <c r="E8" s="8" t="s">
        <v>2</v>
      </c>
      <c r="F8" s="7">
        <f t="shared" ref="F8:F21" si="0">+C8*D8</f>
        <v>0</v>
      </c>
      <c r="H8" s="18" t="s">
        <v>260</v>
      </c>
      <c r="I8" s="20" t="s">
        <v>261</v>
      </c>
      <c r="J8" s="20" t="s">
        <v>262</v>
      </c>
      <c r="K8" s="20" t="s">
        <v>263</v>
      </c>
      <c r="L8" s="20" t="s">
        <v>264</v>
      </c>
      <c r="M8" s="20" t="s">
        <v>265</v>
      </c>
    </row>
    <row r="9" spans="1:13" x14ac:dyDescent="0.25">
      <c r="A9" s="11" t="s">
        <v>303</v>
      </c>
      <c r="B9" s="6" t="s">
        <v>233</v>
      </c>
      <c r="C9" s="12">
        <v>0</v>
      </c>
      <c r="D9" s="8">
        <v>800</v>
      </c>
      <c r="E9" s="8" t="s">
        <v>2</v>
      </c>
      <c r="F9" s="7">
        <f t="shared" si="0"/>
        <v>0</v>
      </c>
    </row>
    <row r="10" spans="1:13" x14ac:dyDescent="0.25">
      <c r="A10" s="11" t="s">
        <v>304</v>
      </c>
      <c r="B10" s="6" t="s">
        <v>234</v>
      </c>
      <c r="C10" s="12">
        <v>0</v>
      </c>
      <c r="D10" s="8">
        <v>40</v>
      </c>
      <c r="E10" s="8" t="s">
        <v>2</v>
      </c>
      <c r="F10" s="7">
        <f t="shared" si="0"/>
        <v>0</v>
      </c>
    </row>
    <row r="11" spans="1:13" x14ac:dyDescent="0.25">
      <c r="A11" s="11" t="s">
        <v>305</v>
      </c>
      <c r="B11" s="6" t="s">
        <v>235</v>
      </c>
      <c r="C11" s="12">
        <v>0</v>
      </c>
      <c r="D11" s="8">
        <f>500*40%</f>
        <v>200</v>
      </c>
      <c r="E11" s="8" t="s">
        <v>2</v>
      </c>
      <c r="F11" s="7">
        <f t="shared" si="0"/>
        <v>0</v>
      </c>
    </row>
    <row r="12" spans="1:13" x14ac:dyDescent="0.25">
      <c r="A12" s="11" t="s">
        <v>306</v>
      </c>
      <c r="B12" s="6" t="s">
        <v>236</v>
      </c>
      <c r="C12" s="12">
        <v>0</v>
      </c>
      <c r="D12" s="8">
        <v>70</v>
      </c>
      <c r="E12" s="8" t="s">
        <v>2</v>
      </c>
      <c r="F12" s="7">
        <f t="shared" si="0"/>
        <v>0</v>
      </c>
    </row>
    <row r="13" spans="1:13" x14ac:dyDescent="0.25">
      <c r="A13" s="11" t="s">
        <v>307</v>
      </c>
      <c r="B13" s="6" t="s">
        <v>237</v>
      </c>
      <c r="C13" s="12">
        <v>0</v>
      </c>
      <c r="D13" s="8">
        <v>150</v>
      </c>
      <c r="E13" s="8" t="s">
        <v>2</v>
      </c>
      <c r="F13" s="7">
        <f t="shared" si="0"/>
        <v>0</v>
      </c>
    </row>
    <row r="14" spans="1:13" x14ac:dyDescent="0.25">
      <c r="A14" s="11" t="s">
        <v>308</v>
      </c>
      <c r="B14" s="6" t="s">
        <v>238</v>
      </c>
      <c r="C14" s="12">
        <v>0</v>
      </c>
      <c r="D14" s="8">
        <v>250</v>
      </c>
      <c r="E14" s="8" t="s">
        <v>2</v>
      </c>
      <c r="F14" s="7">
        <f t="shared" si="0"/>
        <v>0</v>
      </c>
    </row>
    <row r="15" spans="1:13" x14ac:dyDescent="0.25">
      <c r="A15" s="11" t="s">
        <v>309</v>
      </c>
      <c r="B15" s="6" t="s">
        <v>239</v>
      </c>
      <c r="C15" s="12">
        <v>0</v>
      </c>
      <c r="D15" s="8">
        <v>100</v>
      </c>
      <c r="E15" s="8" t="s">
        <v>2</v>
      </c>
      <c r="F15" s="7">
        <f t="shared" si="0"/>
        <v>0</v>
      </c>
    </row>
    <row r="16" spans="1:13" x14ac:dyDescent="0.25">
      <c r="A16" s="11" t="s">
        <v>310</v>
      </c>
      <c r="B16" s="6" t="s">
        <v>240</v>
      </c>
      <c r="C16" s="12">
        <v>0</v>
      </c>
      <c r="D16" s="8">
        <v>100</v>
      </c>
      <c r="E16" s="8" t="s">
        <v>2</v>
      </c>
      <c r="F16" s="7">
        <f t="shared" si="0"/>
        <v>0</v>
      </c>
    </row>
    <row r="17" spans="1:6" x14ac:dyDescent="0.25">
      <c r="A17" s="11" t="s">
        <v>311</v>
      </c>
      <c r="B17" s="6" t="s">
        <v>241</v>
      </c>
      <c r="C17" s="12">
        <v>0</v>
      </c>
      <c r="D17" s="8">
        <v>80</v>
      </c>
      <c r="E17" s="8" t="s">
        <v>2</v>
      </c>
      <c r="F17" s="7">
        <f t="shared" si="0"/>
        <v>0</v>
      </c>
    </row>
    <row r="18" spans="1:6" x14ac:dyDescent="0.25">
      <c r="A18" s="11" t="s">
        <v>312</v>
      </c>
      <c r="B18" s="6" t="s">
        <v>242</v>
      </c>
      <c r="C18" s="12">
        <v>0</v>
      </c>
      <c r="D18" s="8">
        <v>120</v>
      </c>
      <c r="E18" s="8" t="s">
        <v>2</v>
      </c>
      <c r="F18" s="7">
        <f t="shared" si="0"/>
        <v>0</v>
      </c>
    </row>
    <row r="19" spans="1:6" x14ac:dyDescent="0.25">
      <c r="A19" s="11" t="s">
        <v>313</v>
      </c>
      <c r="B19" s="6" t="s">
        <v>243</v>
      </c>
      <c r="C19" s="12">
        <v>0</v>
      </c>
      <c r="D19" s="8">
        <v>150</v>
      </c>
      <c r="E19" s="8" t="s">
        <v>2</v>
      </c>
      <c r="F19" s="7">
        <f t="shared" si="0"/>
        <v>0</v>
      </c>
    </row>
    <row r="20" spans="1:6" x14ac:dyDescent="0.25">
      <c r="A20" s="11" t="s">
        <v>314</v>
      </c>
      <c r="B20" s="6" t="s">
        <v>244</v>
      </c>
      <c r="C20" s="12">
        <v>0</v>
      </c>
      <c r="D20" s="8">
        <v>320</v>
      </c>
      <c r="E20" s="8" t="s">
        <v>2</v>
      </c>
      <c r="F20" s="7">
        <f t="shared" si="0"/>
        <v>0</v>
      </c>
    </row>
    <row r="21" spans="1:6" x14ac:dyDescent="0.25">
      <c r="A21" s="11" t="s">
        <v>315</v>
      </c>
      <c r="B21" s="6" t="s">
        <v>245</v>
      </c>
      <c r="C21" s="12">
        <v>0</v>
      </c>
      <c r="D21" s="8">
        <v>150</v>
      </c>
      <c r="E21" s="8" t="s">
        <v>2</v>
      </c>
      <c r="F21" s="7">
        <f t="shared" si="0"/>
        <v>0</v>
      </c>
    </row>
    <row r="22" spans="1:6" x14ac:dyDescent="0.25">
      <c r="A22" s="1"/>
      <c r="B22" s="51" t="s">
        <v>256</v>
      </c>
      <c r="C22" s="51"/>
      <c r="D22" s="51"/>
      <c r="E22" s="51"/>
      <c r="F22" s="9">
        <f>+SUM(F7:F21)</f>
        <v>0</v>
      </c>
    </row>
    <row r="23" spans="1:6" x14ac:dyDescent="0.25">
      <c r="A23" s="1"/>
      <c r="B23" s="51" t="s">
        <v>258</v>
      </c>
      <c r="C23" s="51"/>
      <c r="D23" s="51"/>
      <c r="E23" s="51"/>
      <c r="F23" s="9">
        <f>+F22*0.055</f>
        <v>0</v>
      </c>
    </row>
    <row r="24" spans="1:6" x14ac:dyDescent="0.25">
      <c r="A24" s="1"/>
      <c r="B24" s="51" t="s">
        <v>257</v>
      </c>
      <c r="C24" s="51"/>
      <c r="D24" s="51"/>
      <c r="E24" s="51"/>
      <c r="F24" s="9">
        <f>+F22+F23</f>
        <v>0</v>
      </c>
    </row>
  </sheetData>
  <mergeCells count="5">
    <mergeCell ref="B22:E22"/>
    <mergeCell ref="B23:E23"/>
    <mergeCell ref="B24:E24"/>
    <mergeCell ref="A2:F2"/>
    <mergeCell ref="A4:F4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1142-159B-4A56-8A7F-73A4117604F3}">
  <dimension ref="A1:M36"/>
  <sheetViews>
    <sheetView zoomScale="115" zoomScaleNormal="115" workbookViewId="0">
      <selection activeCell="H27" sqref="H27"/>
    </sheetView>
  </sheetViews>
  <sheetFormatPr baseColWidth="10" defaultRowHeight="15" x14ac:dyDescent="0.25"/>
  <cols>
    <col min="1" max="1" width="5.140625" style="10" bestFit="1" customWidth="1"/>
    <col min="2" max="2" width="18.85546875" bestFit="1" customWidth="1"/>
    <col min="3" max="3" width="13.85546875" bestFit="1" customWidth="1"/>
    <col min="4" max="4" width="13.42578125" bestFit="1" customWidth="1"/>
    <col min="5" max="5" width="5.140625" bestFit="1" customWidth="1"/>
    <col min="6" max="6" width="17" bestFit="1" customWidth="1"/>
    <col min="8" max="8" width="22.28515625" style="1" bestFit="1" customWidth="1"/>
    <col min="9" max="13" width="10.5703125" style="2" customWidth="1"/>
  </cols>
  <sheetData>
    <row r="1" spans="1:13" s="1" customFormat="1" ht="6.75" customHeight="1" thickBot="1" x14ac:dyDescent="0.3">
      <c r="I1" s="2"/>
      <c r="J1" s="2"/>
      <c r="K1" s="2"/>
      <c r="L1" s="2"/>
      <c r="M1" s="2"/>
    </row>
    <row r="2" spans="1:13" s="1" customFormat="1" ht="15.75" thickBot="1" x14ac:dyDescent="0.3">
      <c r="A2" s="52" t="s">
        <v>625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s="1" customFormat="1" ht="7.5" customHeight="1" thickBot="1" x14ac:dyDescent="0.3">
      <c r="I3" s="2"/>
      <c r="J3" s="2"/>
      <c r="K3" s="2"/>
      <c r="L3" s="2"/>
      <c r="M3" s="2"/>
    </row>
    <row r="4" spans="1:13" s="1" customFormat="1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s="1" customFormat="1" ht="6" customHeight="1" x14ac:dyDescent="0.25">
      <c r="I5" s="2"/>
      <c r="J5" s="2"/>
      <c r="K5" s="2"/>
      <c r="L5" s="2"/>
      <c r="M5" s="2"/>
    </row>
    <row r="6" spans="1:13" ht="30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</row>
    <row r="7" spans="1:13" x14ac:dyDescent="0.25">
      <c r="A7" s="11" t="s">
        <v>316</v>
      </c>
      <c r="B7" s="15" t="s">
        <v>147</v>
      </c>
      <c r="C7" s="7">
        <v>0</v>
      </c>
      <c r="D7" s="16">
        <v>100</v>
      </c>
      <c r="E7" s="15" t="s">
        <v>2</v>
      </c>
      <c r="F7" s="17">
        <f>+D7*C7</f>
        <v>0</v>
      </c>
      <c r="H7" s="18" t="s">
        <v>266</v>
      </c>
      <c r="I7" s="19" t="s">
        <v>261</v>
      </c>
      <c r="J7" s="19" t="s">
        <v>262</v>
      </c>
      <c r="K7" s="19" t="s">
        <v>263</v>
      </c>
      <c r="L7" s="19" t="s">
        <v>264</v>
      </c>
      <c r="M7" s="20" t="s">
        <v>265</v>
      </c>
    </row>
    <row r="8" spans="1:13" x14ac:dyDescent="0.25">
      <c r="A8" s="11" t="s">
        <v>317</v>
      </c>
      <c r="B8" s="15" t="s">
        <v>15</v>
      </c>
      <c r="C8" s="7">
        <v>0</v>
      </c>
      <c r="D8" s="16">
        <v>20</v>
      </c>
      <c r="E8" s="15" t="s">
        <v>2</v>
      </c>
      <c r="F8" s="17">
        <f t="shared" ref="F8:F33" si="0">+D8*C8</f>
        <v>0</v>
      </c>
      <c r="H8" s="18" t="s">
        <v>260</v>
      </c>
      <c r="I8" s="20" t="s">
        <v>261</v>
      </c>
      <c r="J8" s="20" t="s">
        <v>262</v>
      </c>
      <c r="K8" s="20" t="s">
        <v>263</v>
      </c>
      <c r="L8" s="20" t="s">
        <v>264</v>
      </c>
      <c r="M8" s="20" t="s">
        <v>265</v>
      </c>
    </row>
    <row r="9" spans="1:13" x14ac:dyDescent="0.25">
      <c r="A9" s="11" t="s">
        <v>301</v>
      </c>
      <c r="B9" s="15" t="s">
        <v>16</v>
      </c>
      <c r="C9" s="7">
        <v>0</v>
      </c>
      <c r="D9" s="16">
        <v>200</v>
      </c>
      <c r="E9" s="15" t="s">
        <v>2</v>
      </c>
      <c r="F9" s="17">
        <f t="shared" si="0"/>
        <v>0</v>
      </c>
    </row>
    <row r="10" spans="1:13" x14ac:dyDescent="0.25">
      <c r="A10" s="11" t="s">
        <v>319</v>
      </c>
      <c r="B10" s="15" t="s">
        <v>17</v>
      </c>
      <c r="C10" s="7">
        <v>0</v>
      </c>
      <c r="D10" s="16">
        <v>20</v>
      </c>
      <c r="E10" s="15" t="s">
        <v>2</v>
      </c>
      <c r="F10" s="17">
        <f t="shared" si="0"/>
        <v>0</v>
      </c>
    </row>
    <row r="11" spans="1:13" x14ac:dyDescent="0.25">
      <c r="A11" s="11" t="s">
        <v>320</v>
      </c>
      <c r="B11" s="15" t="s">
        <v>18</v>
      </c>
      <c r="C11" s="7">
        <v>0</v>
      </c>
      <c r="D11" s="16">
        <v>60</v>
      </c>
      <c r="E11" s="15" t="s">
        <v>2</v>
      </c>
      <c r="F11" s="17">
        <f t="shared" si="0"/>
        <v>0</v>
      </c>
    </row>
    <row r="12" spans="1:13" x14ac:dyDescent="0.25">
      <c r="A12" s="11" t="s">
        <v>318</v>
      </c>
      <c r="B12" s="15" t="s">
        <v>0</v>
      </c>
      <c r="C12" s="7">
        <v>0</v>
      </c>
      <c r="D12" s="16">
        <v>40</v>
      </c>
      <c r="E12" s="15" t="s">
        <v>2</v>
      </c>
      <c r="F12" s="17">
        <f t="shared" si="0"/>
        <v>0</v>
      </c>
    </row>
    <row r="13" spans="1:13" x14ac:dyDescent="0.25">
      <c r="A13" s="11" t="s">
        <v>321</v>
      </c>
      <c r="B13" s="15" t="s">
        <v>19</v>
      </c>
      <c r="C13" s="7">
        <v>0</v>
      </c>
      <c r="D13" s="16">
        <v>20</v>
      </c>
      <c r="E13" s="15" t="s">
        <v>2</v>
      </c>
      <c r="F13" s="17">
        <f t="shared" si="0"/>
        <v>0</v>
      </c>
    </row>
    <row r="14" spans="1:13" x14ac:dyDescent="0.25">
      <c r="A14" s="11" t="s">
        <v>322</v>
      </c>
      <c r="B14" s="15" t="s">
        <v>20</v>
      </c>
      <c r="C14" s="7">
        <v>0</v>
      </c>
      <c r="D14" s="16">
        <v>20</v>
      </c>
      <c r="E14" s="15" t="s">
        <v>2</v>
      </c>
      <c r="F14" s="17">
        <f t="shared" si="0"/>
        <v>0</v>
      </c>
    </row>
    <row r="15" spans="1:13" x14ac:dyDescent="0.25">
      <c r="A15" s="11" t="s">
        <v>323</v>
      </c>
      <c r="B15" s="15" t="s">
        <v>21</v>
      </c>
      <c r="C15" s="7">
        <v>0</v>
      </c>
      <c r="D15" s="16">
        <v>35</v>
      </c>
      <c r="E15" s="15" t="s">
        <v>2</v>
      </c>
      <c r="F15" s="17">
        <f t="shared" si="0"/>
        <v>0</v>
      </c>
    </row>
    <row r="16" spans="1:13" x14ac:dyDescent="0.25">
      <c r="A16" s="11" t="s">
        <v>324</v>
      </c>
      <c r="B16" s="15" t="s">
        <v>22</v>
      </c>
      <c r="C16" s="7">
        <v>0</v>
      </c>
      <c r="D16" s="16">
        <v>150</v>
      </c>
      <c r="E16" s="15" t="s">
        <v>2</v>
      </c>
      <c r="F16" s="17">
        <f t="shared" si="0"/>
        <v>0</v>
      </c>
    </row>
    <row r="17" spans="1:6" x14ac:dyDescent="0.25">
      <c r="A17" s="11" t="s">
        <v>325</v>
      </c>
      <c r="B17" s="15" t="s">
        <v>148</v>
      </c>
      <c r="C17" s="7">
        <v>0</v>
      </c>
      <c r="D17" s="16">
        <v>10</v>
      </c>
      <c r="E17" s="15" t="s">
        <v>2</v>
      </c>
      <c r="F17" s="17">
        <f t="shared" si="0"/>
        <v>0</v>
      </c>
    </row>
    <row r="18" spans="1:6" x14ac:dyDescent="0.25">
      <c r="A18" s="11" t="s">
        <v>326</v>
      </c>
      <c r="B18" s="15" t="s">
        <v>1</v>
      </c>
      <c r="C18" s="7">
        <v>0</v>
      </c>
      <c r="D18" s="16">
        <v>10</v>
      </c>
      <c r="E18" s="15" t="s">
        <v>2</v>
      </c>
      <c r="F18" s="17">
        <f t="shared" si="0"/>
        <v>0</v>
      </c>
    </row>
    <row r="19" spans="1:6" x14ac:dyDescent="0.25">
      <c r="A19" s="11" t="s">
        <v>327</v>
      </c>
      <c r="B19" s="15" t="s">
        <v>23</v>
      </c>
      <c r="C19" s="7">
        <v>0</v>
      </c>
      <c r="D19" s="16">
        <v>20</v>
      </c>
      <c r="E19" s="15" t="s">
        <v>2</v>
      </c>
      <c r="F19" s="17">
        <f t="shared" si="0"/>
        <v>0</v>
      </c>
    </row>
    <row r="20" spans="1:6" x14ac:dyDescent="0.25">
      <c r="A20" s="11" t="s">
        <v>328</v>
      </c>
      <c r="B20" s="15" t="s">
        <v>149</v>
      </c>
      <c r="C20" s="7">
        <v>0</v>
      </c>
      <c r="D20" s="16">
        <v>10</v>
      </c>
      <c r="E20" s="15" t="s">
        <v>2</v>
      </c>
      <c r="F20" s="17">
        <f t="shared" si="0"/>
        <v>0</v>
      </c>
    </row>
    <row r="21" spans="1:6" x14ac:dyDescent="0.25">
      <c r="A21" s="11" t="s">
        <v>329</v>
      </c>
      <c r="B21" s="15" t="s">
        <v>150</v>
      </c>
      <c r="C21" s="7">
        <v>0</v>
      </c>
      <c r="D21" s="16">
        <v>10</v>
      </c>
      <c r="E21" s="15" t="s">
        <v>2</v>
      </c>
      <c r="F21" s="17">
        <f t="shared" si="0"/>
        <v>0</v>
      </c>
    </row>
    <row r="22" spans="1:6" x14ac:dyDescent="0.25">
      <c r="A22" s="11" t="s">
        <v>330</v>
      </c>
      <c r="B22" s="15" t="s">
        <v>26</v>
      </c>
      <c r="C22" s="7">
        <v>0</v>
      </c>
      <c r="D22" s="16">
        <v>5</v>
      </c>
      <c r="E22" s="15" t="s">
        <v>2</v>
      </c>
      <c r="F22" s="17">
        <f t="shared" si="0"/>
        <v>0</v>
      </c>
    </row>
    <row r="23" spans="1:6" x14ac:dyDescent="0.25">
      <c r="A23" s="11" t="s">
        <v>331</v>
      </c>
      <c r="B23" s="15" t="s">
        <v>24</v>
      </c>
      <c r="C23" s="7">
        <v>0</v>
      </c>
      <c r="D23" s="16">
        <v>10</v>
      </c>
      <c r="E23" s="15" t="s">
        <v>2</v>
      </c>
      <c r="F23" s="17">
        <f t="shared" si="0"/>
        <v>0</v>
      </c>
    </row>
    <row r="24" spans="1:6" x14ac:dyDescent="0.25">
      <c r="A24" s="11" t="s">
        <v>332</v>
      </c>
      <c r="B24" s="15" t="s">
        <v>151</v>
      </c>
      <c r="C24" s="7">
        <v>0</v>
      </c>
      <c r="D24" s="16">
        <v>30</v>
      </c>
      <c r="E24" s="15" t="s">
        <v>2</v>
      </c>
      <c r="F24" s="17">
        <f t="shared" si="0"/>
        <v>0</v>
      </c>
    </row>
    <row r="25" spans="1:6" x14ac:dyDescent="0.25">
      <c r="A25" s="11" t="s">
        <v>333</v>
      </c>
      <c r="B25" s="15" t="s">
        <v>25</v>
      </c>
      <c r="C25" s="7">
        <v>0</v>
      </c>
      <c r="D25" s="16">
        <v>30</v>
      </c>
      <c r="E25" s="15" t="s">
        <v>2</v>
      </c>
      <c r="F25" s="17">
        <f t="shared" si="0"/>
        <v>0</v>
      </c>
    </row>
    <row r="26" spans="1:6" x14ac:dyDescent="0.25">
      <c r="A26" s="11" t="s">
        <v>334</v>
      </c>
      <c r="B26" s="15" t="s">
        <v>29</v>
      </c>
      <c r="C26" s="7">
        <v>0</v>
      </c>
      <c r="D26" s="16">
        <v>10</v>
      </c>
      <c r="E26" s="15" t="s">
        <v>2</v>
      </c>
      <c r="F26" s="17">
        <f t="shared" si="0"/>
        <v>0</v>
      </c>
    </row>
    <row r="27" spans="1:6" x14ac:dyDescent="0.25">
      <c r="A27" s="11" t="s">
        <v>335</v>
      </c>
      <c r="B27" s="15" t="s">
        <v>152</v>
      </c>
      <c r="C27" s="7">
        <v>0</v>
      </c>
      <c r="D27" s="16">
        <v>20</v>
      </c>
      <c r="E27" s="15" t="s">
        <v>2</v>
      </c>
      <c r="F27" s="17">
        <f t="shared" si="0"/>
        <v>0</v>
      </c>
    </row>
    <row r="28" spans="1:6" x14ac:dyDescent="0.25">
      <c r="A28" s="11" t="s">
        <v>336</v>
      </c>
      <c r="B28" s="15" t="s">
        <v>153</v>
      </c>
      <c r="C28" s="7">
        <v>0</v>
      </c>
      <c r="D28" s="16">
        <v>500</v>
      </c>
      <c r="E28" s="15" t="s">
        <v>2</v>
      </c>
      <c r="F28" s="17">
        <f t="shared" si="0"/>
        <v>0</v>
      </c>
    </row>
    <row r="29" spans="1:6" x14ac:dyDescent="0.25">
      <c r="A29" s="11" t="s">
        <v>337</v>
      </c>
      <c r="B29" s="15" t="s">
        <v>28</v>
      </c>
      <c r="C29" s="7">
        <v>0</v>
      </c>
      <c r="D29" s="16">
        <v>30</v>
      </c>
      <c r="E29" s="15" t="s">
        <v>2</v>
      </c>
      <c r="F29" s="17">
        <f t="shared" si="0"/>
        <v>0</v>
      </c>
    </row>
    <row r="30" spans="1:6" x14ac:dyDescent="0.25">
      <c r="A30" s="11" t="s">
        <v>338</v>
      </c>
      <c r="B30" s="15" t="s">
        <v>27</v>
      </c>
      <c r="C30" s="7">
        <v>0</v>
      </c>
      <c r="D30" s="16">
        <v>30</v>
      </c>
      <c r="E30" s="15" t="s">
        <v>2</v>
      </c>
      <c r="F30" s="17">
        <f t="shared" si="0"/>
        <v>0</v>
      </c>
    </row>
    <row r="31" spans="1:6" x14ac:dyDescent="0.25">
      <c r="A31" s="11" t="s">
        <v>339</v>
      </c>
      <c r="B31" s="15" t="s">
        <v>154</v>
      </c>
      <c r="C31" s="7">
        <v>0</v>
      </c>
      <c r="D31" s="16">
        <v>100</v>
      </c>
      <c r="E31" s="15" t="s">
        <v>2</v>
      </c>
      <c r="F31" s="17">
        <f t="shared" si="0"/>
        <v>0</v>
      </c>
    </row>
    <row r="32" spans="1:6" x14ac:dyDescent="0.25">
      <c r="A32" s="11" t="s">
        <v>340</v>
      </c>
      <c r="B32" s="15" t="s">
        <v>155</v>
      </c>
      <c r="C32" s="7">
        <v>0</v>
      </c>
      <c r="D32" s="16">
        <v>10</v>
      </c>
      <c r="E32" s="15" t="s">
        <v>2</v>
      </c>
      <c r="F32" s="17">
        <f t="shared" si="0"/>
        <v>0</v>
      </c>
    </row>
    <row r="33" spans="1:6" x14ac:dyDescent="0.25">
      <c r="A33" s="11" t="s">
        <v>341</v>
      </c>
      <c r="B33" s="15" t="s">
        <v>156</v>
      </c>
      <c r="C33" s="7">
        <v>0</v>
      </c>
      <c r="D33" s="16">
        <v>10</v>
      </c>
      <c r="E33" s="15" t="s">
        <v>2</v>
      </c>
      <c r="F33" s="17">
        <f t="shared" si="0"/>
        <v>0</v>
      </c>
    </row>
    <row r="34" spans="1:6" x14ac:dyDescent="0.25">
      <c r="A34" s="14"/>
      <c r="B34" s="51" t="s">
        <v>256</v>
      </c>
      <c r="C34" s="51"/>
      <c r="D34" s="51"/>
      <c r="E34" s="51"/>
      <c r="F34" s="9">
        <f>+SUM(F7:F33)</f>
        <v>0</v>
      </c>
    </row>
    <row r="35" spans="1:6" x14ac:dyDescent="0.25">
      <c r="A35" s="14"/>
      <c r="B35" s="51" t="s">
        <v>258</v>
      </c>
      <c r="C35" s="51"/>
      <c r="D35" s="51"/>
      <c r="E35" s="51"/>
      <c r="F35" s="9">
        <f>+F34*0.055</f>
        <v>0</v>
      </c>
    </row>
    <row r="36" spans="1:6" x14ac:dyDescent="0.25">
      <c r="A36" s="14"/>
      <c r="B36" s="51" t="s">
        <v>257</v>
      </c>
      <c r="C36" s="51"/>
      <c r="D36" s="51"/>
      <c r="E36" s="51"/>
      <c r="F36" s="9">
        <f>+F34+F35</f>
        <v>0</v>
      </c>
    </row>
  </sheetData>
  <mergeCells count="5">
    <mergeCell ref="B34:E34"/>
    <mergeCell ref="B35:E35"/>
    <mergeCell ref="B36:E36"/>
    <mergeCell ref="A2:F2"/>
    <mergeCell ref="A4:F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9D7E-2606-4819-B893-5AF38CF2DF3C}">
  <dimension ref="A1:M34"/>
  <sheetViews>
    <sheetView zoomScaleNormal="100" workbookViewId="0">
      <selection activeCell="M27" sqref="M27"/>
    </sheetView>
  </sheetViews>
  <sheetFormatPr baseColWidth="10" defaultColWidth="11.42578125" defaultRowHeight="15" x14ac:dyDescent="0.25"/>
  <cols>
    <col min="1" max="1" width="6.85546875" style="1" customWidth="1"/>
    <col min="2" max="2" width="36.5703125" style="1" bestFit="1" customWidth="1"/>
    <col min="3" max="3" width="15.7109375" style="1" customWidth="1"/>
    <col min="4" max="4" width="18.42578125" style="1" customWidth="1"/>
    <col min="5" max="5" width="5.42578125" style="1" bestFit="1" customWidth="1"/>
    <col min="6" max="6" width="27.7109375" style="1" customWidth="1"/>
    <col min="7" max="7" width="11.42578125" style="1"/>
    <col min="8" max="8" width="22.28515625" style="1" bestFit="1" customWidth="1"/>
    <col min="9" max="13" width="9.28515625" style="1" customWidth="1"/>
    <col min="14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626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30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</row>
    <row r="7" spans="1:13" s="24" customFormat="1" x14ac:dyDescent="0.25">
      <c r="A7" s="11" t="s">
        <v>342</v>
      </c>
      <c r="B7" s="21" t="s">
        <v>206</v>
      </c>
      <c r="C7" s="22">
        <v>0</v>
      </c>
      <c r="D7" s="21">
        <v>35</v>
      </c>
      <c r="E7" s="21" t="s">
        <v>2</v>
      </c>
      <c r="F7" s="23">
        <f>+D7*C7</f>
        <v>0</v>
      </c>
      <c r="H7" s="18" t="s">
        <v>266</v>
      </c>
      <c r="I7" s="19" t="s">
        <v>261</v>
      </c>
      <c r="J7" s="19" t="s">
        <v>262</v>
      </c>
      <c r="K7" s="19" t="s">
        <v>263</v>
      </c>
      <c r="L7" s="19" t="s">
        <v>264</v>
      </c>
      <c r="M7" s="20" t="s">
        <v>265</v>
      </c>
    </row>
    <row r="8" spans="1:13" x14ac:dyDescent="0.25">
      <c r="A8" s="11" t="s">
        <v>343</v>
      </c>
      <c r="B8" s="21" t="s">
        <v>207</v>
      </c>
      <c r="C8" s="22">
        <v>0</v>
      </c>
      <c r="D8" s="21">
        <v>400</v>
      </c>
      <c r="E8" s="21" t="s">
        <v>2</v>
      </c>
      <c r="F8" s="23">
        <f t="shared" ref="F8:F31" si="0">+D8*C8</f>
        <v>0</v>
      </c>
      <c r="H8" s="18" t="s">
        <v>260</v>
      </c>
      <c r="I8" s="20" t="s">
        <v>261</v>
      </c>
      <c r="J8" s="20" t="s">
        <v>262</v>
      </c>
      <c r="K8" s="20" t="s">
        <v>263</v>
      </c>
      <c r="L8" s="20" t="s">
        <v>264</v>
      </c>
      <c r="M8" s="20" t="s">
        <v>265</v>
      </c>
    </row>
    <row r="9" spans="1:13" x14ac:dyDescent="0.25">
      <c r="A9" s="11" t="s">
        <v>344</v>
      </c>
      <c r="B9" s="21" t="s">
        <v>208</v>
      </c>
      <c r="C9" s="22">
        <v>0</v>
      </c>
      <c r="D9" s="21">
        <v>30</v>
      </c>
      <c r="E9" s="21" t="s">
        <v>2</v>
      </c>
      <c r="F9" s="23">
        <f t="shared" si="0"/>
        <v>0</v>
      </c>
    </row>
    <row r="10" spans="1:13" x14ac:dyDescent="0.25">
      <c r="A10" s="11" t="s">
        <v>345</v>
      </c>
      <c r="B10" s="21" t="s">
        <v>209</v>
      </c>
      <c r="C10" s="22">
        <v>0</v>
      </c>
      <c r="D10" s="8">
        <v>120</v>
      </c>
      <c r="E10" s="8" t="s">
        <v>2</v>
      </c>
      <c r="F10" s="23">
        <f t="shared" si="0"/>
        <v>0</v>
      </c>
    </row>
    <row r="11" spans="1:13" x14ac:dyDescent="0.25">
      <c r="A11" s="11" t="s">
        <v>346</v>
      </c>
      <c r="B11" s="21" t="s">
        <v>210</v>
      </c>
      <c r="C11" s="22">
        <v>0</v>
      </c>
      <c r="D11" s="21">
        <v>80</v>
      </c>
      <c r="E11" s="21" t="s">
        <v>2</v>
      </c>
      <c r="F11" s="23">
        <f t="shared" si="0"/>
        <v>0</v>
      </c>
    </row>
    <row r="12" spans="1:13" x14ac:dyDescent="0.25">
      <c r="A12" s="11" t="s">
        <v>347</v>
      </c>
      <c r="B12" s="21" t="s">
        <v>211</v>
      </c>
      <c r="C12" s="22">
        <v>0</v>
      </c>
      <c r="D12" s="8">
        <v>30</v>
      </c>
      <c r="E12" s="8" t="s">
        <v>2</v>
      </c>
      <c r="F12" s="23">
        <f t="shared" si="0"/>
        <v>0</v>
      </c>
    </row>
    <row r="13" spans="1:13" x14ac:dyDescent="0.25">
      <c r="A13" s="11" t="s">
        <v>348</v>
      </c>
      <c r="B13" s="21" t="s">
        <v>212</v>
      </c>
      <c r="C13" s="22">
        <v>0</v>
      </c>
      <c r="D13" s="8">
        <v>30</v>
      </c>
      <c r="E13" s="8" t="s">
        <v>2</v>
      </c>
      <c r="F13" s="23">
        <f t="shared" si="0"/>
        <v>0</v>
      </c>
    </row>
    <row r="14" spans="1:13" x14ac:dyDescent="0.25">
      <c r="A14" s="11" t="s">
        <v>349</v>
      </c>
      <c r="B14" s="21" t="s">
        <v>213</v>
      </c>
      <c r="C14" s="22">
        <v>0</v>
      </c>
      <c r="D14" s="8">
        <v>250</v>
      </c>
      <c r="E14" s="8" t="s">
        <v>2</v>
      </c>
      <c r="F14" s="23">
        <f t="shared" si="0"/>
        <v>0</v>
      </c>
    </row>
    <row r="15" spans="1:13" x14ac:dyDescent="0.25">
      <c r="A15" s="11" t="s">
        <v>350</v>
      </c>
      <c r="B15" s="21" t="s">
        <v>214</v>
      </c>
      <c r="C15" s="22">
        <v>0</v>
      </c>
      <c r="D15" s="21">
        <v>100</v>
      </c>
      <c r="E15" s="8" t="s">
        <v>2</v>
      </c>
      <c r="F15" s="23">
        <f t="shared" si="0"/>
        <v>0</v>
      </c>
    </row>
    <row r="16" spans="1:13" x14ac:dyDescent="0.25">
      <c r="A16" s="11" t="s">
        <v>351</v>
      </c>
      <c r="B16" s="21" t="s">
        <v>215</v>
      </c>
      <c r="C16" s="22">
        <v>0</v>
      </c>
      <c r="D16" s="21">
        <v>30</v>
      </c>
      <c r="E16" s="8" t="s">
        <v>2</v>
      </c>
      <c r="F16" s="23">
        <f t="shared" si="0"/>
        <v>0</v>
      </c>
    </row>
    <row r="17" spans="1:6" x14ac:dyDescent="0.25">
      <c r="A17" s="11" t="s">
        <v>352</v>
      </c>
      <c r="B17" s="21" t="s">
        <v>216</v>
      </c>
      <c r="C17" s="22">
        <v>0</v>
      </c>
      <c r="D17" s="8">
        <v>15</v>
      </c>
      <c r="E17" s="8" t="s">
        <v>2</v>
      </c>
      <c r="F17" s="23">
        <f t="shared" si="0"/>
        <v>0</v>
      </c>
    </row>
    <row r="18" spans="1:6" x14ac:dyDescent="0.25">
      <c r="A18" s="11" t="s">
        <v>353</v>
      </c>
      <c r="B18" s="21" t="s">
        <v>217</v>
      </c>
      <c r="C18" s="22">
        <v>0</v>
      </c>
      <c r="D18" s="21">
        <v>50</v>
      </c>
      <c r="E18" s="21" t="s">
        <v>2</v>
      </c>
      <c r="F18" s="23">
        <f t="shared" si="0"/>
        <v>0</v>
      </c>
    </row>
    <row r="19" spans="1:6" x14ac:dyDescent="0.25">
      <c r="A19" s="11" t="s">
        <v>354</v>
      </c>
      <c r="B19" s="21" t="s">
        <v>218</v>
      </c>
      <c r="C19" s="22">
        <v>0</v>
      </c>
      <c r="D19" s="8">
        <v>10</v>
      </c>
      <c r="E19" s="8" t="s">
        <v>2</v>
      </c>
      <c r="F19" s="23">
        <f t="shared" si="0"/>
        <v>0</v>
      </c>
    </row>
    <row r="20" spans="1:6" x14ac:dyDescent="0.25">
      <c r="A20" s="11" t="s">
        <v>355</v>
      </c>
      <c r="B20" s="21" t="s">
        <v>219</v>
      </c>
      <c r="C20" s="22">
        <v>0</v>
      </c>
      <c r="D20" s="8">
        <v>10</v>
      </c>
      <c r="E20" s="8" t="s">
        <v>2</v>
      </c>
      <c r="F20" s="23">
        <f t="shared" si="0"/>
        <v>0</v>
      </c>
    </row>
    <row r="21" spans="1:6" x14ac:dyDescent="0.25">
      <c r="A21" s="11" t="s">
        <v>356</v>
      </c>
      <c r="B21" s="21" t="s">
        <v>220</v>
      </c>
      <c r="C21" s="22">
        <v>0</v>
      </c>
      <c r="D21" s="21">
        <v>30</v>
      </c>
      <c r="E21" s="21" t="s">
        <v>2</v>
      </c>
      <c r="F21" s="23">
        <f t="shared" si="0"/>
        <v>0</v>
      </c>
    </row>
    <row r="22" spans="1:6" x14ac:dyDescent="0.25">
      <c r="A22" s="11" t="s">
        <v>357</v>
      </c>
      <c r="B22" s="21" t="s">
        <v>221</v>
      </c>
      <c r="C22" s="22">
        <v>0</v>
      </c>
      <c r="D22" s="21">
        <v>40</v>
      </c>
      <c r="E22" s="21" t="s">
        <v>2</v>
      </c>
      <c r="F22" s="23">
        <f t="shared" si="0"/>
        <v>0</v>
      </c>
    </row>
    <row r="23" spans="1:6" x14ac:dyDescent="0.25">
      <c r="A23" s="11" t="s">
        <v>358</v>
      </c>
      <c r="B23" s="21" t="s">
        <v>222</v>
      </c>
      <c r="C23" s="22">
        <v>0</v>
      </c>
      <c r="D23" s="8">
        <v>20</v>
      </c>
      <c r="E23" s="8" t="s">
        <v>2</v>
      </c>
      <c r="F23" s="23">
        <f t="shared" si="0"/>
        <v>0</v>
      </c>
    </row>
    <row r="24" spans="1:6" x14ac:dyDescent="0.25">
      <c r="A24" s="11" t="s">
        <v>359</v>
      </c>
      <c r="B24" s="15" t="s">
        <v>223</v>
      </c>
      <c r="C24" s="22">
        <v>0</v>
      </c>
      <c r="D24" s="21">
        <v>60</v>
      </c>
      <c r="E24" s="21" t="s">
        <v>2</v>
      </c>
      <c r="F24" s="23">
        <f t="shared" si="0"/>
        <v>0</v>
      </c>
    </row>
    <row r="25" spans="1:6" x14ac:dyDescent="0.25">
      <c r="A25" s="11" t="s">
        <v>360</v>
      </c>
      <c r="B25" s="15" t="s">
        <v>224</v>
      </c>
      <c r="C25" s="22">
        <v>0</v>
      </c>
      <c r="D25" s="21">
        <v>15</v>
      </c>
      <c r="E25" s="21" t="s">
        <v>2</v>
      </c>
      <c r="F25" s="23">
        <f t="shared" si="0"/>
        <v>0</v>
      </c>
    </row>
    <row r="26" spans="1:6" x14ac:dyDescent="0.25">
      <c r="A26" s="11" t="s">
        <v>361</v>
      </c>
      <c r="B26" s="15" t="s">
        <v>225</v>
      </c>
      <c r="C26" s="22">
        <v>0</v>
      </c>
      <c r="D26" s="21">
        <v>30</v>
      </c>
      <c r="E26" s="21" t="s">
        <v>2</v>
      </c>
      <c r="F26" s="23">
        <f t="shared" si="0"/>
        <v>0</v>
      </c>
    </row>
    <row r="27" spans="1:6" x14ac:dyDescent="0.25">
      <c r="A27" s="11" t="s">
        <v>362</v>
      </c>
      <c r="B27" s="21" t="s">
        <v>226</v>
      </c>
      <c r="C27" s="22">
        <v>0</v>
      </c>
      <c r="D27" s="21">
        <v>45</v>
      </c>
      <c r="E27" s="21" t="s">
        <v>2</v>
      </c>
      <c r="F27" s="23">
        <f t="shared" si="0"/>
        <v>0</v>
      </c>
    </row>
    <row r="28" spans="1:6" x14ac:dyDescent="0.25">
      <c r="A28" s="11" t="s">
        <v>363</v>
      </c>
      <c r="B28" s="21" t="s">
        <v>227</v>
      </c>
      <c r="C28" s="22">
        <v>0</v>
      </c>
      <c r="D28" s="21">
        <v>250</v>
      </c>
      <c r="E28" s="21" t="s">
        <v>2</v>
      </c>
      <c r="F28" s="23">
        <f t="shared" si="0"/>
        <v>0</v>
      </c>
    </row>
    <row r="29" spans="1:6" x14ac:dyDescent="0.25">
      <c r="A29" s="11" t="s">
        <v>364</v>
      </c>
      <c r="B29" s="21" t="s">
        <v>228</v>
      </c>
      <c r="C29" s="22">
        <v>0</v>
      </c>
      <c r="D29" s="21">
        <v>40</v>
      </c>
      <c r="E29" s="21" t="s">
        <v>2</v>
      </c>
      <c r="F29" s="23">
        <f t="shared" si="0"/>
        <v>0</v>
      </c>
    </row>
    <row r="30" spans="1:6" x14ac:dyDescent="0.25">
      <c r="A30" s="11" t="s">
        <v>365</v>
      </c>
      <c r="B30" s="21" t="s">
        <v>229</v>
      </c>
      <c r="C30" s="22">
        <v>0</v>
      </c>
      <c r="D30" s="21">
        <v>500</v>
      </c>
      <c r="E30" s="21" t="s">
        <v>2</v>
      </c>
      <c r="F30" s="23">
        <f t="shared" si="0"/>
        <v>0</v>
      </c>
    </row>
    <row r="31" spans="1:6" x14ac:dyDescent="0.25">
      <c r="A31" s="11" t="s">
        <v>366</v>
      </c>
      <c r="B31" s="21" t="s">
        <v>230</v>
      </c>
      <c r="C31" s="22">
        <v>0</v>
      </c>
      <c r="D31" s="21">
        <v>400</v>
      </c>
      <c r="E31" s="21" t="s">
        <v>2</v>
      </c>
      <c r="F31" s="23">
        <f t="shared" si="0"/>
        <v>0</v>
      </c>
    </row>
    <row r="32" spans="1:6" x14ac:dyDescent="0.25">
      <c r="B32" s="51" t="s">
        <v>256</v>
      </c>
      <c r="C32" s="51"/>
      <c r="D32" s="51"/>
      <c r="E32" s="51"/>
      <c r="F32" s="9">
        <f>+SUM(F7:F31)</f>
        <v>0</v>
      </c>
    </row>
    <row r="33" spans="2:6" x14ac:dyDescent="0.25">
      <c r="B33" s="51" t="s">
        <v>258</v>
      </c>
      <c r="C33" s="51"/>
      <c r="D33" s="51"/>
      <c r="E33" s="51"/>
      <c r="F33" s="9">
        <f>+F32*0.055</f>
        <v>0</v>
      </c>
    </row>
    <row r="34" spans="2:6" x14ac:dyDescent="0.25">
      <c r="B34" s="51" t="s">
        <v>257</v>
      </c>
      <c r="C34" s="51"/>
      <c r="D34" s="51"/>
      <c r="E34" s="51"/>
      <c r="F34" s="9">
        <f>+F32+F33</f>
        <v>0</v>
      </c>
    </row>
  </sheetData>
  <mergeCells count="5">
    <mergeCell ref="B33:E33"/>
    <mergeCell ref="B34:E34"/>
    <mergeCell ref="B32:E32"/>
    <mergeCell ref="A2:F2"/>
    <mergeCell ref="A4:F4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4836-C6F1-4A2A-A049-C3893E922322}">
  <dimension ref="A1:M10"/>
  <sheetViews>
    <sheetView zoomScaleNormal="100" workbookViewId="0">
      <selection activeCell="B7" sqref="B7"/>
    </sheetView>
  </sheetViews>
  <sheetFormatPr baseColWidth="10" defaultColWidth="11.42578125" defaultRowHeight="15" x14ac:dyDescent="0.25"/>
  <cols>
    <col min="1" max="1" width="6.7109375" style="1" customWidth="1"/>
    <col min="2" max="2" width="34.5703125" style="1" bestFit="1" customWidth="1"/>
    <col min="3" max="3" width="14" style="1" customWidth="1"/>
    <col min="4" max="4" width="18" style="1" customWidth="1"/>
    <col min="5" max="5" width="11.42578125" style="1"/>
    <col min="6" max="6" width="22.85546875" style="1" customWidth="1"/>
    <col min="7" max="7" width="11.42578125" style="1"/>
    <col min="8" max="8" width="22.28515625" style="1" bestFit="1" customWidth="1"/>
    <col min="9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627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30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</row>
    <row r="7" spans="1:13" x14ac:dyDescent="0.25">
      <c r="A7" s="11" t="s">
        <v>622</v>
      </c>
      <c r="B7" s="8" t="s">
        <v>60</v>
      </c>
      <c r="C7" s="25">
        <v>0</v>
      </c>
      <c r="D7" s="8">
        <v>100</v>
      </c>
      <c r="E7" s="8" t="s">
        <v>2</v>
      </c>
      <c r="F7" s="25">
        <f>+D7*C7</f>
        <v>0</v>
      </c>
      <c r="H7" s="18" t="s">
        <v>266</v>
      </c>
      <c r="I7" s="19" t="s">
        <v>261</v>
      </c>
      <c r="J7" s="19" t="s">
        <v>262</v>
      </c>
      <c r="K7" s="19" t="s">
        <v>263</v>
      </c>
      <c r="L7" s="19" t="s">
        <v>264</v>
      </c>
      <c r="M7" s="20" t="s">
        <v>265</v>
      </c>
    </row>
    <row r="8" spans="1:13" x14ac:dyDescent="0.25">
      <c r="B8" s="51" t="s">
        <v>256</v>
      </c>
      <c r="C8" s="51"/>
      <c r="D8" s="51"/>
      <c r="E8" s="51"/>
      <c r="F8" s="9">
        <f>SUM(F7)</f>
        <v>0</v>
      </c>
      <c r="H8" s="18" t="s">
        <v>260</v>
      </c>
      <c r="I8" s="20" t="s">
        <v>261</v>
      </c>
      <c r="J8" s="20" t="s">
        <v>262</v>
      </c>
      <c r="K8" s="20" t="s">
        <v>263</v>
      </c>
      <c r="L8" s="20" t="s">
        <v>264</v>
      </c>
      <c r="M8" s="20" t="s">
        <v>265</v>
      </c>
    </row>
    <row r="9" spans="1:13" x14ac:dyDescent="0.25">
      <c r="B9" s="51" t="s">
        <v>258</v>
      </c>
      <c r="C9" s="51"/>
      <c r="D9" s="51"/>
      <c r="E9" s="51"/>
      <c r="F9" s="9">
        <f>+F8*0.055</f>
        <v>0</v>
      </c>
    </row>
    <row r="10" spans="1:13" x14ac:dyDescent="0.25">
      <c r="B10" s="51" t="s">
        <v>257</v>
      </c>
      <c r="C10" s="51"/>
      <c r="D10" s="51"/>
      <c r="E10" s="51"/>
      <c r="F10" s="9">
        <f>+F8+F9</f>
        <v>0</v>
      </c>
    </row>
  </sheetData>
  <mergeCells count="5">
    <mergeCell ref="A2:F2"/>
    <mergeCell ref="A4:F4"/>
    <mergeCell ref="B8:E8"/>
    <mergeCell ref="B9:E9"/>
    <mergeCell ref="B10:E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6C17-834F-4CCD-9989-7D1AB810E4B8}">
  <dimension ref="A1:M10"/>
  <sheetViews>
    <sheetView workbookViewId="0">
      <selection activeCell="C6" sqref="C6"/>
    </sheetView>
  </sheetViews>
  <sheetFormatPr baseColWidth="10" defaultColWidth="11.42578125" defaultRowHeight="15" x14ac:dyDescent="0.25"/>
  <cols>
    <col min="1" max="1" width="8.42578125" style="1" customWidth="1"/>
    <col min="2" max="2" width="28" style="1" bestFit="1" customWidth="1"/>
    <col min="3" max="3" width="15.42578125" style="1" customWidth="1"/>
    <col min="4" max="4" width="20.85546875" style="1" customWidth="1"/>
    <col min="5" max="5" width="11.42578125" style="1"/>
    <col min="6" max="6" width="23.7109375" style="1" customWidth="1"/>
    <col min="7" max="7" width="11.42578125" style="1"/>
    <col min="8" max="8" width="22" style="1" bestFit="1" customWidth="1"/>
    <col min="9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628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30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</row>
    <row r="7" spans="1:13" x14ac:dyDescent="0.25">
      <c r="A7" s="11" t="s">
        <v>621</v>
      </c>
      <c r="B7" s="8" t="s">
        <v>68</v>
      </c>
      <c r="C7" s="25">
        <v>0</v>
      </c>
      <c r="D7" s="8">
        <v>100</v>
      </c>
      <c r="E7" s="8" t="s">
        <v>2</v>
      </c>
      <c r="F7" s="7">
        <f>+D7*C7</f>
        <v>0</v>
      </c>
      <c r="H7" s="18" t="s">
        <v>266</v>
      </c>
      <c r="I7" s="19" t="s">
        <v>261</v>
      </c>
      <c r="J7" s="19" t="s">
        <v>262</v>
      </c>
      <c r="K7" s="19" t="s">
        <v>263</v>
      </c>
      <c r="L7" s="19" t="s">
        <v>264</v>
      </c>
      <c r="M7" s="20" t="s">
        <v>265</v>
      </c>
    </row>
    <row r="8" spans="1:13" x14ac:dyDescent="0.25">
      <c r="B8" s="55" t="s">
        <v>256</v>
      </c>
      <c r="C8" s="56"/>
      <c r="D8" s="56"/>
      <c r="E8" s="57"/>
      <c r="F8" s="9">
        <f>SUM(F7)</f>
        <v>0</v>
      </c>
      <c r="H8" s="18" t="s">
        <v>260</v>
      </c>
      <c r="I8" s="20" t="s">
        <v>261</v>
      </c>
      <c r="J8" s="20" t="s">
        <v>262</v>
      </c>
      <c r="K8" s="20" t="s">
        <v>263</v>
      </c>
      <c r="L8" s="20" t="s">
        <v>264</v>
      </c>
      <c r="M8" s="20" t="s">
        <v>265</v>
      </c>
    </row>
    <row r="9" spans="1:13" x14ac:dyDescent="0.25">
      <c r="B9" s="55" t="s">
        <v>258</v>
      </c>
      <c r="C9" s="56"/>
      <c r="D9" s="56"/>
      <c r="E9" s="57"/>
      <c r="F9" s="9">
        <f>+F8*0.055</f>
        <v>0</v>
      </c>
    </row>
    <row r="10" spans="1:13" x14ac:dyDescent="0.25">
      <c r="B10" s="55" t="s">
        <v>257</v>
      </c>
      <c r="C10" s="56"/>
      <c r="D10" s="56"/>
      <c r="E10" s="57"/>
      <c r="F10" s="9">
        <f>+F8+F9</f>
        <v>0</v>
      </c>
    </row>
  </sheetData>
  <mergeCells count="5">
    <mergeCell ref="A2:F2"/>
    <mergeCell ref="A4:F4"/>
    <mergeCell ref="B8:E8"/>
    <mergeCell ref="B9:E9"/>
    <mergeCell ref="B10:E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6017-58B3-438A-9791-8261AA2B7250}">
  <dimension ref="A1:M14"/>
  <sheetViews>
    <sheetView topLeftCell="A4" zoomScaleNormal="100" workbookViewId="0">
      <selection activeCell="C6" sqref="C6"/>
    </sheetView>
  </sheetViews>
  <sheetFormatPr baseColWidth="10" defaultColWidth="11.42578125" defaultRowHeight="15" x14ac:dyDescent="0.25"/>
  <cols>
    <col min="1" max="1" width="7.140625" style="1" customWidth="1"/>
    <col min="2" max="2" width="36.140625" style="1" customWidth="1"/>
    <col min="3" max="3" width="14" style="1" customWidth="1"/>
    <col min="4" max="4" width="17.5703125" style="1" customWidth="1"/>
    <col min="5" max="5" width="11.42578125" style="1"/>
    <col min="6" max="6" width="22.28515625" style="1" customWidth="1"/>
    <col min="7" max="7" width="11.42578125" style="1"/>
    <col min="8" max="8" width="22" style="1" bestFit="1" customWidth="1"/>
    <col min="9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629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39" customHeight="1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</row>
    <row r="7" spans="1:13" x14ac:dyDescent="0.25">
      <c r="A7" s="11" t="s">
        <v>616</v>
      </c>
      <c r="B7" s="8" t="s">
        <v>45</v>
      </c>
      <c r="C7" s="7">
        <v>0</v>
      </c>
      <c r="D7" s="8">
        <v>150</v>
      </c>
      <c r="E7" s="8" t="s">
        <v>2</v>
      </c>
      <c r="F7" s="7">
        <f>+C7*D7</f>
        <v>0</v>
      </c>
      <c r="H7" s="18" t="s">
        <v>266</v>
      </c>
      <c r="I7" s="19" t="s">
        <v>261</v>
      </c>
      <c r="J7" s="19" t="s">
        <v>262</v>
      </c>
      <c r="K7" s="19" t="s">
        <v>263</v>
      </c>
      <c r="L7" s="19" t="s">
        <v>264</v>
      </c>
      <c r="M7" s="20" t="s">
        <v>265</v>
      </c>
    </row>
    <row r="8" spans="1:13" x14ac:dyDescent="0.25">
      <c r="A8" s="11" t="s">
        <v>617</v>
      </c>
      <c r="B8" s="8" t="s">
        <v>42</v>
      </c>
      <c r="C8" s="7">
        <v>0</v>
      </c>
      <c r="D8" s="8">
        <v>80</v>
      </c>
      <c r="E8" s="8" t="s">
        <v>2</v>
      </c>
      <c r="F8" s="7">
        <f t="shared" ref="F8:F11" si="0">+C8*D8</f>
        <v>0</v>
      </c>
      <c r="H8" s="18" t="s">
        <v>260</v>
      </c>
      <c r="I8" s="20" t="s">
        <v>261</v>
      </c>
      <c r="J8" s="20" t="s">
        <v>262</v>
      </c>
      <c r="K8" s="20" t="s">
        <v>263</v>
      </c>
      <c r="L8" s="20" t="s">
        <v>264</v>
      </c>
      <c r="M8" s="20" t="s">
        <v>265</v>
      </c>
    </row>
    <row r="9" spans="1:13" ht="13.15" customHeight="1" x14ac:dyDescent="0.25">
      <c r="A9" s="11" t="s">
        <v>618</v>
      </c>
      <c r="B9" s="8" t="s">
        <v>43</v>
      </c>
      <c r="C9" s="7">
        <v>0</v>
      </c>
      <c r="D9" s="8">
        <v>20</v>
      </c>
      <c r="E9" s="8" t="s">
        <v>2</v>
      </c>
      <c r="F9" s="7">
        <f t="shared" si="0"/>
        <v>0</v>
      </c>
    </row>
    <row r="10" spans="1:13" x14ac:dyDescent="0.25">
      <c r="A10" s="11" t="s">
        <v>619</v>
      </c>
      <c r="B10" s="8" t="s">
        <v>44</v>
      </c>
      <c r="C10" s="7">
        <v>0</v>
      </c>
      <c r="D10" s="8">
        <v>20</v>
      </c>
      <c r="E10" s="8" t="s">
        <v>2</v>
      </c>
      <c r="F10" s="7">
        <f t="shared" si="0"/>
        <v>0</v>
      </c>
    </row>
    <row r="11" spans="1:13" x14ac:dyDescent="0.25">
      <c r="A11" s="11" t="s">
        <v>620</v>
      </c>
      <c r="B11" s="8" t="s">
        <v>46</v>
      </c>
      <c r="C11" s="7">
        <v>0</v>
      </c>
      <c r="D11" s="8">
        <v>20</v>
      </c>
      <c r="E11" s="8" t="s">
        <v>2</v>
      </c>
      <c r="F11" s="7">
        <f t="shared" si="0"/>
        <v>0</v>
      </c>
    </row>
    <row r="12" spans="1:13" x14ac:dyDescent="0.25">
      <c r="B12" s="51" t="s">
        <v>256</v>
      </c>
      <c r="C12" s="51"/>
      <c r="D12" s="51"/>
      <c r="E12" s="51"/>
      <c r="F12" s="9">
        <f>+SUM(F7:F11)</f>
        <v>0</v>
      </c>
    </row>
    <row r="13" spans="1:13" x14ac:dyDescent="0.25">
      <c r="B13" s="51" t="s">
        <v>258</v>
      </c>
      <c r="C13" s="51"/>
      <c r="D13" s="51"/>
      <c r="E13" s="51"/>
      <c r="F13" s="9">
        <f>+F12*0.055</f>
        <v>0</v>
      </c>
    </row>
    <row r="14" spans="1:13" x14ac:dyDescent="0.25">
      <c r="B14" s="51" t="s">
        <v>257</v>
      </c>
      <c r="C14" s="51"/>
      <c r="D14" s="51"/>
      <c r="E14" s="51"/>
      <c r="F14" s="9">
        <f>+F12+F13</f>
        <v>0</v>
      </c>
    </row>
  </sheetData>
  <mergeCells count="5">
    <mergeCell ref="B12:E12"/>
    <mergeCell ref="B13:E13"/>
    <mergeCell ref="B14:E14"/>
    <mergeCell ref="A2:F2"/>
    <mergeCell ref="A4:F4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5504-6911-41BD-9398-4A308B1F7E73}">
  <dimension ref="A1:M14"/>
  <sheetViews>
    <sheetView zoomScaleNormal="100" workbookViewId="0">
      <selection activeCell="B7" sqref="B7:B11"/>
    </sheetView>
  </sheetViews>
  <sheetFormatPr baseColWidth="10" defaultColWidth="11.42578125" defaultRowHeight="15" x14ac:dyDescent="0.25"/>
  <cols>
    <col min="1" max="1" width="7.140625" style="1" customWidth="1"/>
    <col min="2" max="2" width="42.140625" style="1" customWidth="1"/>
    <col min="3" max="3" width="15.140625" style="1" customWidth="1"/>
    <col min="4" max="4" width="19.5703125" style="1" customWidth="1"/>
    <col min="5" max="5" width="11.42578125" style="1"/>
    <col min="6" max="6" width="26.28515625" style="1" customWidth="1"/>
    <col min="7" max="7" width="11.42578125" style="1"/>
    <col min="8" max="8" width="22" style="1" bestFit="1" customWidth="1"/>
    <col min="9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630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30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</row>
    <row r="7" spans="1:13" x14ac:dyDescent="0.25">
      <c r="A7" s="11" t="s">
        <v>611</v>
      </c>
      <c r="B7" s="8" t="s">
        <v>267</v>
      </c>
      <c r="C7" s="7">
        <v>0</v>
      </c>
      <c r="D7" s="8">
        <v>150</v>
      </c>
      <c r="E7" s="8" t="s">
        <v>2</v>
      </c>
      <c r="F7" s="7">
        <f>+C7*D7</f>
        <v>0</v>
      </c>
      <c r="H7" s="18" t="s">
        <v>266</v>
      </c>
      <c r="I7" s="19" t="s">
        <v>261</v>
      </c>
      <c r="J7" s="19" t="s">
        <v>262</v>
      </c>
      <c r="K7" s="19" t="s">
        <v>263</v>
      </c>
      <c r="L7" s="19" t="s">
        <v>264</v>
      </c>
      <c r="M7" s="20" t="s">
        <v>265</v>
      </c>
    </row>
    <row r="8" spans="1:13" x14ac:dyDescent="0.25">
      <c r="A8" s="11" t="s">
        <v>612</v>
      </c>
      <c r="B8" s="8" t="s">
        <v>268</v>
      </c>
      <c r="C8" s="7">
        <v>0</v>
      </c>
      <c r="D8" s="8">
        <v>80</v>
      </c>
      <c r="E8" s="8" t="s">
        <v>2</v>
      </c>
      <c r="F8" s="7">
        <f t="shared" ref="F8:F11" si="0">+C8*D8</f>
        <v>0</v>
      </c>
      <c r="H8" s="18" t="s">
        <v>260</v>
      </c>
      <c r="I8" s="20" t="s">
        <v>261</v>
      </c>
      <c r="J8" s="20" t="s">
        <v>262</v>
      </c>
      <c r="K8" s="20" t="s">
        <v>263</v>
      </c>
      <c r="L8" s="20" t="s">
        <v>264</v>
      </c>
      <c r="M8" s="20" t="s">
        <v>265</v>
      </c>
    </row>
    <row r="9" spans="1:13" x14ac:dyDescent="0.25">
      <c r="A9" s="11" t="s">
        <v>613</v>
      </c>
      <c r="B9" s="8" t="s">
        <v>269</v>
      </c>
      <c r="C9" s="7">
        <v>0</v>
      </c>
      <c r="D9" s="8">
        <v>20</v>
      </c>
      <c r="E9" s="8" t="s">
        <v>2</v>
      </c>
      <c r="F9" s="7">
        <f t="shared" si="0"/>
        <v>0</v>
      </c>
    </row>
    <row r="10" spans="1:13" x14ac:dyDescent="0.25">
      <c r="A10" s="11" t="s">
        <v>614</v>
      </c>
      <c r="B10" s="8" t="s">
        <v>270</v>
      </c>
      <c r="C10" s="7">
        <v>0</v>
      </c>
      <c r="D10" s="8">
        <v>20</v>
      </c>
      <c r="E10" s="8" t="s">
        <v>2</v>
      </c>
      <c r="F10" s="7">
        <f t="shared" si="0"/>
        <v>0</v>
      </c>
    </row>
    <row r="11" spans="1:13" x14ac:dyDescent="0.25">
      <c r="A11" s="11" t="s">
        <v>615</v>
      </c>
      <c r="B11" s="8" t="s">
        <v>271</v>
      </c>
      <c r="C11" s="7">
        <v>0</v>
      </c>
      <c r="D11" s="8">
        <v>20</v>
      </c>
      <c r="E11" s="8" t="s">
        <v>2</v>
      </c>
      <c r="F11" s="7">
        <f t="shared" si="0"/>
        <v>0</v>
      </c>
    </row>
    <row r="12" spans="1:13" x14ac:dyDescent="0.25">
      <c r="B12" s="51" t="s">
        <v>256</v>
      </c>
      <c r="C12" s="51"/>
      <c r="D12" s="51"/>
      <c r="E12" s="51"/>
      <c r="F12" s="9">
        <f>+SUM(F7:F11)</f>
        <v>0</v>
      </c>
    </row>
    <row r="13" spans="1:13" x14ac:dyDescent="0.25">
      <c r="B13" s="51" t="s">
        <v>258</v>
      </c>
      <c r="C13" s="51"/>
      <c r="D13" s="51"/>
      <c r="E13" s="51"/>
      <c r="F13" s="9">
        <f>+F12*0.055</f>
        <v>0</v>
      </c>
    </row>
    <row r="14" spans="1:13" x14ac:dyDescent="0.25">
      <c r="B14" s="51" t="s">
        <v>257</v>
      </c>
      <c r="C14" s="51"/>
      <c r="D14" s="51"/>
      <c r="E14" s="51"/>
      <c r="F14" s="9">
        <f>+F12+F13</f>
        <v>0</v>
      </c>
    </row>
  </sheetData>
  <mergeCells count="5">
    <mergeCell ref="B12:E12"/>
    <mergeCell ref="B13:E13"/>
    <mergeCell ref="B14:E14"/>
    <mergeCell ref="A2:F2"/>
    <mergeCell ref="A4:F4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8B65-BC57-4938-81CF-3154365EB109}">
  <dimension ref="A1:M15"/>
  <sheetViews>
    <sheetView zoomScaleNormal="100" workbookViewId="0">
      <selection activeCell="B7" sqref="B7:B12"/>
    </sheetView>
  </sheetViews>
  <sheetFormatPr baseColWidth="10" defaultColWidth="11.42578125" defaultRowHeight="15" x14ac:dyDescent="0.25"/>
  <cols>
    <col min="1" max="1" width="7.28515625" style="1" customWidth="1"/>
    <col min="2" max="2" width="23.28515625" style="1" customWidth="1"/>
    <col min="3" max="3" width="14" style="1" customWidth="1"/>
    <col min="4" max="4" width="20.7109375" style="1" customWidth="1"/>
    <col min="5" max="5" width="11.42578125" style="1"/>
    <col min="6" max="6" width="23.28515625" style="1" customWidth="1"/>
    <col min="7" max="7" width="11.42578125" style="1"/>
    <col min="8" max="8" width="22" style="1" bestFit="1" customWidth="1"/>
    <col min="9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631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30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</row>
    <row r="7" spans="1:13" x14ac:dyDescent="0.25">
      <c r="A7" s="11" t="s">
        <v>605</v>
      </c>
      <c r="B7" s="8" t="s">
        <v>47</v>
      </c>
      <c r="C7" s="7">
        <v>0</v>
      </c>
      <c r="D7" s="8">
        <v>85</v>
      </c>
      <c r="E7" s="8" t="s">
        <v>2</v>
      </c>
      <c r="F7" s="7">
        <f>+C7*D7</f>
        <v>0</v>
      </c>
      <c r="H7" s="18" t="s">
        <v>266</v>
      </c>
      <c r="I7" s="19" t="s">
        <v>261</v>
      </c>
      <c r="J7" s="19" t="s">
        <v>262</v>
      </c>
      <c r="K7" s="19" t="s">
        <v>263</v>
      </c>
      <c r="L7" s="19" t="s">
        <v>264</v>
      </c>
      <c r="M7" s="20" t="s">
        <v>265</v>
      </c>
    </row>
    <row r="8" spans="1:13" x14ac:dyDescent="0.25">
      <c r="A8" s="11" t="s">
        <v>606</v>
      </c>
      <c r="B8" s="8" t="s">
        <v>50</v>
      </c>
      <c r="C8" s="7">
        <v>0</v>
      </c>
      <c r="D8" s="8">
        <v>30</v>
      </c>
      <c r="E8" s="8" t="s">
        <v>2</v>
      </c>
      <c r="F8" s="7">
        <f t="shared" ref="F8:F12" si="0">+C8*D8</f>
        <v>0</v>
      </c>
      <c r="H8" s="18" t="s">
        <v>260</v>
      </c>
      <c r="I8" s="20" t="s">
        <v>261</v>
      </c>
      <c r="J8" s="20" t="s">
        <v>262</v>
      </c>
      <c r="K8" s="20" t="s">
        <v>263</v>
      </c>
      <c r="L8" s="20" t="s">
        <v>264</v>
      </c>
      <c r="M8" s="20" t="s">
        <v>265</v>
      </c>
    </row>
    <row r="9" spans="1:13" x14ac:dyDescent="0.25">
      <c r="A9" s="11" t="s">
        <v>607</v>
      </c>
      <c r="B9" s="8" t="s">
        <v>48</v>
      </c>
      <c r="C9" s="7">
        <v>0</v>
      </c>
      <c r="D9" s="8">
        <v>20</v>
      </c>
      <c r="E9" s="8" t="s">
        <v>2</v>
      </c>
      <c r="F9" s="7">
        <f t="shared" si="0"/>
        <v>0</v>
      </c>
    </row>
    <row r="10" spans="1:13" x14ac:dyDescent="0.25">
      <c r="A10" s="11" t="s">
        <v>608</v>
      </c>
      <c r="B10" s="8" t="s">
        <v>49</v>
      </c>
      <c r="C10" s="7">
        <v>0</v>
      </c>
      <c r="D10" s="8">
        <v>20</v>
      </c>
      <c r="E10" s="8" t="s">
        <v>2</v>
      </c>
      <c r="F10" s="7">
        <f t="shared" si="0"/>
        <v>0</v>
      </c>
    </row>
    <row r="11" spans="1:13" x14ac:dyDescent="0.25">
      <c r="A11" s="11" t="s">
        <v>609</v>
      </c>
      <c r="B11" s="8" t="s">
        <v>31</v>
      </c>
      <c r="C11" s="7">
        <v>0</v>
      </c>
      <c r="D11" s="8">
        <v>20</v>
      </c>
      <c r="E11" s="8" t="s">
        <v>2</v>
      </c>
      <c r="F11" s="7">
        <f t="shared" si="0"/>
        <v>0</v>
      </c>
    </row>
    <row r="12" spans="1:13" x14ac:dyDescent="0.25">
      <c r="A12" s="11" t="s">
        <v>610</v>
      </c>
      <c r="B12" s="8" t="s">
        <v>56</v>
      </c>
      <c r="C12" s="7">
        <v>0</v>
      </c>
      <c r="D12" s="8">
        <v>30</v>
      </c>
      <c r="E12" s="8" t="s">
        <v>2</v>
      </c>
      <c r="F12" s="7">
        <f t="shared" si="0"/>
        <v>0</v>
      </c>
    </row>
    <row r="13" spans="1:13" x14ac:dyDescent="0.25">
      <c r="B13" s="51" t="s">
        <v>256</v>
      </c>
      <c r="C13" s="51"/>
      <c r="D13" s="51"/>
      <c r="E13" s="51"/>
      <c r="F13" s="9">
        <f>+SUM(F7:F12)</f>
        <v>0</v>
      </c>
    </row>
    <row r="14" spans="1:13" x14ac:dyDescent="0.25">
      <c r="B14" s="51" t="s">
        <v>258</v>
      </c>
      <c r="C14" s="51"/>
      <c r="D14" s="51"/>
      <c r="E14" s="51"/>
      <c r="F14" s="9">
        <f>+F13*0.055</f>
        <v>0</v>
      </c>
    </row>
    <row r="15" spans="1:13" x14ac:dyDescent="0.25">
      <c r="B15" s="51" t="s">
        <v>257</v>
      </c>
      <c r="C15" s="51"/>
      <c r="D15" s="51"/>
      <c r="E15" s="51"/>
      <c r="F15" s="9">
        <f>+F13+F14</f>
        <v>0</v>
      </c>
    </row>
  </sheetData>
  <mergeCells count="5">
    <mergeCell ref="B13:E13"/>
    <mergeCell ref="B14:E14"/>
    <mergeCell ref="B15:E15"/>
    <mergeCell ref="A2:F2"/>
    <mergeCell ref="A4:F4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D7BF-589A-4D5C-952A-226971D17942}">
  <dimension ref="A1:M15"/>
  <sheetViews>
    <sheetView zoomScaleNormal="100" workbookViewId="0">
      <selection activeCell="B7" sqref="B7:B12"/>
    </sheetView>
  </sheetViews>
  <sheetFormatPr baseColWidth="10" defaultColWidth="11.42578125" defaultRowHeight="15" x14ac:dyDescent="0.25"/>
  <cols>
    <col min="1" max="1" width="8" style="1" customWidth="1"/>
    <col min="2" max="2" width="23.42578125" style="1" customWidth="1"/>
    <col min="3" max="3" width="14.7109375" style="1" customWidth="1"/>
    <col min="4" max="4" width="18.7109375" style="1" customWidth="1"/>
    <col min="5" max="5" width="11.42578125" style="1"/>
    <col min="6" max="6" width="25" style="1" customWidth="1"/>
    <col min="7" max="7" width="11.42578125" style="1"/>
    <col min="8" max="8" width="22" style="1" bestFit="1" customWidth="1"/>
    <col min="9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632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30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</row>
    <row r="7" spans="1:13" x14ac:dyDescent="0.25">
      <c r="A7" s="11" t="s">
        <v>599</v>
      </c>
      <c r="B7" s="8" t="s">
        <v>51</v>
      </c>
      <c r="C7" s="7">
        <v>0</v>
      </c>
      <c r="D7" s="8">
        <v>100</v>
      </c>
      <c r="E7" s="8" t="s">
        <v>2</v>
      </c>
      <c r="F7" s="17">
        <f>+D7*C7</f>
        <v>0</v>
      </c>
      <c r="H7" s="18" t="s">
        <v>266</v>
      </c>
      <c r="I7" s="19" t="s">
        <v>261</v>
      </c>
      <c r="J7" s="19" t="s">
        <v>262</v>
      </c>
      <c r="K7" s="19" t="s">
        <v>263</v>
      </c>
      <c r="L7" s="19" t="s">
        <v>264</v>
      </c>
      <c r="M7" s="20" t="s">
        <v>265</v>
      </c>
    </row>
    <row r="8" spans="1:13" x14ac:dyDescent="0.25">
      <c r="A8" s="11" t="s">
        <v>600</v>
      </c>
      <c r="B8" s="8" t="s">
        <v>52</v>
      </c>
      <c r="C8" s="7">
        <v>0</v>
      </c>
      <c r="D8" s="8">
        <v>60</v>
      </c>
      <c r="E8" s="8" t="s">
        <v>2</v>
      </c>
      <c r="F8" s="17">
        <f t="shared" ref="F8:F12" si="0">+D8*C8</f>
        <v>0</v>
      </c>
      <c r="H8" s="18" t="s">
        <v>260</v>
      </c>
      <c r="I8" s="20" t="s">
        <v>261</v>
      </c>
      <c r="J8" s="20" t="s">
        <v>262</v>
      </c>
      <c r="K8" s="20" t="s">
        <v>263</v>
      </c>
      <c r="L8" s="20" t="s">
        <v>264</v>
      </c>
      <c r="M8" s="20" t="s">
        <v>265</v>
      </c>
    </row>
    <row r="9" spans="1:13" x14ac:dyDescent="0.25">
      <c r="A9" s="11" t="s">
        <v>601</v>
      </c>
      <c r="B9" s="8" t="s">
        <v>53</v>
      </c>
      <c r="C9" s="7">
        <v>0</v>
      </c>
      <c r="D9" s="8">
        <v>30</v>
      </c>
      <c r="E9" s="8" t="s">
        <v>2</v>
      </c>
      <c r="F9" s="17">
        <f t="shared" si="0"/>
        <v>0</v>
      </c>
    </row>
    <row r="10" spans="1:13" x14ac:dyDescent="0.25">
      <c r="A10" s="11" t="s">
        <v>602</v>
      </c>
      <c r="B10" s="8" t="s">
        <v>54</v>
      </c>
      <c r="C10" s="7">
        <v>0</v>
      </c>
      <c r="D10" s="8">
        <v>30</v>
      </c>
      <c r="E10" s="8" t="s">
        <v>2</v>
      </c>
      <c r="F10" s="17">
        <f t="shared" si="0"/>
        <v>0</v>
      </c>
    </row>
    <row r="11" spans="1:13" x14ac:dyDescent="0.25">
      <c r="A11" s="11" t="s">
        <v>603</v>
      </c>
      <c r="B11" s="8" t="s">
        <v>55</v>
      </c>
      <c r="C11" s="7">
        <v>0</v>
      </c>
      <c r="D11" s="8">
        <v>20</v>
      </c>
      <c r="E11" s="8" t="s">
        <v>2</v>
      </c>
      <c r="F11" s="17">
        <f t="shared" si="0"/>
        <v>0</v>
      </c>
    </row>
    <row r="12" spans="1:13" x14ac:dyDescent="0.25">
      <c r="A12" s="11" t="s">
        <v>604</v>
      </c>
      <c r="B12" s="8" t="s">
        <v>272</v>
      </c>
      <c r="C12" s="7">
        <v>0</v>
      </c>
      <c r="D12" s="8">
        <v>30</v>
      </c>
      <c r="E12" s="8" t="s">
        <v>2</v>
      </c>
      <c r="F12" s="17">
        <f t="shared" si="0"/>
        <v>0</v>
      </c>
    </row>
    <row r="13" spans="1:13" x14ac:dyDescent="0.25">
      <c r="B13" s="51" t="s">
        <v>256</v>
      </c>
      <c r="C13" s="51"/>
      <c r="D13" s="51"/>
      <c r="E13" s="51"/>
      <c r="F13" s="9">
        <f>+SUM(F7:F12)</f>
        <v>0</v>
      </c>
    </row>
    <row r="14" spans="1:13" x14ac:dyDescent="0.25">
      <c r="B14" s="51" t="s">
        <v>258</v>
      </c>
      <c r="C14" s="51"/>
      <c r="D14" s="51"/>
      <c r="E14" s="51"/>
      <c r="F14" s="9">
        <f>+F13*0.055</f>
        <v>0</v>
      </c>
    </row>
    <row r="15" spans="1:13" x14ac:dyDescent="0.25">
      <c r="B15" s="51" t="s">
        <v>257</v>
      </c>
      <c r="C15" s="51"/>
      <c r="D15" s="51"/>
      <c r="E15" s="51"/>
      <c r="F15" s="9">
        <f>+F13+F14</f>
        <v>0</v>
      </c>
    </row>
  </sheetData>
  <mergeCells count="5">
    <mergeCell ref="B13:E13"/>
    <mergeCell ref="B14:E14"/>
    <mergeCell ref="B15:E15"/>
    <mergeCell ref="A2:F2"/>
    <mergeCell ref="A4:F4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112B-3CF5-4BA3-A4A9-8A82351EA09E}">
  <dimension ref="A1:M13"/>
  <sheetViews>
    <sheetView workbookViewId="0">
      <selection activeCell="D21" sqref="D21"/>
    </sheetView>
  </sheetViews>
  <sheetFormatPr baseColWidth="10" defaultColWidth="11.42578125" defaultRowHeight="15" x14ac:dyDescent="0.25"/>
  <cols>
    <col min="1" max="1" width="7.140625" style="1" customWidth="1"/>
    <col min="2" max="2" width="22.7109375" style="1" bestFit="1" customWidth="1"/>
    <col min="3" max="3" width="13.7109375" style="1" customWidth="1"/>
    <col min="4" max="4" width="19" style="1" customWidth="1"/>
    <col min="5" max="5" width="11.42578125" style="1"/>
    <col min="6" max="6" width="24.7109375" style="1" customWidth="1"/>
    <col min="7" max="7" width="11.42578125" style="1"/>
    <col min="8" max="8" width="22" style="1" bestFit="1" customWidth="1"/>
    <col min="9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633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30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</row>
    <row r="7" spans="1:13" x14ac:dyDescent="0.25">
      <c r="A7" s="11" t="s">
        <v>595</v>
      </c>
      <c r="B7" s="8" t="s">
        <v>62</v>
      </c>
      <c r="C7" s="7">
        <v>0</v>
      </c>
      <c r="D7" s="8">
        <v>185</v>
      </c>
      <c r="E7" s="8" t="s">
        <v>2</v>
      </c>
      <c r="F7" s="7">
        <f>+C7*D7</f>
        <v>0</v>
      </c>
      <c r="H7" s="18" t="s">
        <v>266</v>
      </c>
      <c r="I7" s="19" t="s">
        <v>261</v>
      </c>
      <c r="J7" s="19" t="s">
        <v>262</v>
      </c>
      <c r="K7" s="19" t="s">
        <v>263</v>
      </c>
      <c r="L7" s="19" t="s">
        <v>264</v>
      </c>
      <c r="M7" s="20" t="s">
        <v>265</v>
      </c>
    </row>
    <row r="8" spans="1:13" x14ac:dyDescent="0.25">
      <c r="A8" s="11" t="s">
        <v>596</v>
      </c>
      <c r="B8" s="8" t="s">
        <v>647</v>
      </c>
      <c r="C8" s="7">
        <v>0</v>
      </c>
      <c r="D8" s="8">
        <v>100</v>
      </c>
      <c r="E8" s="8" t="s">
        <v>2</v>
      </c>
      <c r="F8" s="7">
        <f t="shared" ref="F8:F10" si="0">+C8*D8</f>
        <v>0</v>
      </c>
      <c r="H8" s="18" t="s">
        <v>260</v>
      </c>
      <c r="I8" s="20" t="s">
        <v>261</v>
      </c>
      <c r="J8" s="20" t="s">
        <v>262</v>
      </c>
      <c r="K8" s="20" t="s">
        <v>263</v>
      </c>
      <c r="L8" s="20" t="s">
        <v>264</v>
      </c>
      <c r="M8" s="20" t="s">
        <v>265</v>
      </c>
    </row>
    <row r="9" spans="1:13" x14ac:dyDescent="0.25">
      <c r="A9" s="11" t="s">
        <v>597</v>
      </c>
      <c r="B9" s="8" t="s">
        <v>58</v>
      </c>
      <c r="C9" s="7">
        <v>0</v>
      </c>
      <c r="D9" s="8">
        <v>100</v>
      </c>
      <c r="E9" s="8" t="s">
        <v>2</v>
      </c>
      <c r="F9" s="7">
        <f t="shared" si="0"/>
        <v>0</v>
      </c>
    </row>
    <row r="10" spans="1:13" x14ac:dyDescent="0.25">
      <c r="A10" s="11" t="s">
        <v>598</v>
      </c>
      <c r="B10" s="8" t="s">
        <v>67</v>
      </c>
      <c r="C10" s="7">
        <v>0</v>
      </c>
      <c r="D10" s="8">
        <v>15</v>
      </c>
      <c r="E10" s="8" t="s">
        <v>2</v>
      </c>
      <c r="F10" s="7">
        <f t="shared" si="0"/>
        <v>0</v>
      </c>
    </row>
    <row r="11" spans="1:13" x14ac:dyDescent="0.25">
      <c r="B11" s="51" t="s">
        <v>256</v>
      </c>
      <c r="C11" s="51"/>
      <c r="D11" s="51"/>
      <c r="E11" s="51"/>
      <c r="F11" s="9">
        <f>+SUM(F7:F10)</f>
        <v>0</v>
      </c>
    </row>
    <row r="12" spans="1:13" x14ac:dyDescent="0.25">
      <c r="B12" s="51" t="s">
        <v>258</v>
      </c>
      <c r="C12" s="51"/>
      <c r="D12" s="51"/>
      <c r="E12" s="51"/>
      <c r="F12" s="9">
        <f>+F11*0.055</f>
        <v>0</v>
      </c>
    </row>
    <row r="13" spans="1:13" x14ac:dyDescent="0.25">
      <c r="B13" s="51" t="s">
        <v>257</v>
      </c>
      <c r="C13" s="51"/>
      <c r="D13" s="51"/>
      <c r="E13" s="51"/>
      <c r="F13" s="9">
        <f>+F11+F12</f>
        <v>0</v>
      </c>
    </row>
  </sheetData>
  <mergeCells count="5">
    <mergeCell ref="B11:E11"/>
    <mergeCell ref="B12:E12"/>
    <mergeCell ref="B13:E13"/>
    <mergeCell ref="A2:F2"/>
    <mergeCell ref="A4:F4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0EC1-90A1-4751-8AF5-5FA0EE568162}">
  <dimension ref="A1:M13"/>
  <sheetViews>
    <sheetView workbookViewId="0">
      <selection activeCell="I28" sqref="I28"/>
    </sheetView>
  </sheetViews>
  <sheetFormatPr baseColWidth="10" defaultColWidth="11.42578125" defaultRowHeight="15" x14ac:dyDescent="0.25"/>
  <cols>
    <col min="1" max="1" width="7.42578125" style="1" customWidth="1"/>
    <col min="2" max="2" width="23.42578125" style="1" customWidth="1"/>
    <col min="3" max="3" width="14" style="1" customWidth="1"/>
    <col min="4" max="4" width="20.140625" style="1" customWidth="1"/>
    <col min="5" max="5" width="11.42578125" style="1"/>
    <col min="6" max="6" width="23.140625" style="1" customWidth="1"/>
    <col min="7" max="7" width="11.42578125" style="1"/>
    <col min="8" max="8" width="22.28515625" style="1" bestFit="1" customWidth="1"/>
    <col min="9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634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30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</row>
    <row r="7" spans="1:13" x14ac:dyDescent="0.25">
      <c r="A7" s="11" t="s">
        <v>591</v>
      </c>
      <c r="B7" s="8" t="s">
        <v>57</v>
      </c>
      <c r="C7" s="7">
        <v>0</v>
      </c>
      <c r="D7" s="8">
        <v>185</v>
      </c>
      <c r="E7" s="8" t="s">
        <v>2</v>
      </c>
      <c r="F7" s="26">
        <f>+C7*D7</f>
        <v>0</v>
      </c>
      <c r="H7" s="18" t="s">
        <v>266</v>
      </c>
      <c r="I7" s="19" t="s">
        <v>261</v>
      </c>
      <c r="J7" s="19" t="s">
        <v>262</v>
      </c>
      <c r="K7" s="19" t="s">
        <v>263</v>
      </c>
      <c r="L7" s="19" t="s">
        <v>264</v>
      </c>
      <c r="M7" s="20" t="s">
        <v>265</v>
      </c>
    </row>
    <row r="8" spans="1:13" x14ac:dyDescent="0.25">
      <c r="A8" s="11" t="s">
        <v>592</v>
      </c>
      <c r="B8" s="8" t="s">
        <v>648</v>
      </c>
      <c r="C8" s="7">
        <v>0</v>
      </c>
      <c r="D8" s="8">
        <v>100</v>
      </c>
      <c r="E8" s="8" t="s">
        <v>2</v>
      </c>
      <c r="F8" s="26">
        <f t="shared" ref="F8:F10" si="0">+C8*D8</f>
        <v>0</v>
      </c>
      <c r="H8" s="18" t="s">
        <v>260</v>
      </c>
      <c r="I8" s="20" t="s">
        <v>261</v>
      </c>
      <c r="J8" s="20" t="s">
        <v>262</v>
      </c>
      <c r="K8" s="20" t="s">
        <v>263</v>
      </c>
      <c r="L8" s="20" t="s">
        <v>264</v>
      </c>
      <c r="M8" s="20" t="s">
        <v>265</v>
      </c>
    </row>
    <row r="9" spans="1:13" x14ac:dyDescent="0.25">
      <c r="A9" s="11" t="s">
        <v>593</v>
      </c>
      <c r="B9" s="8" t="s">
        <v>61</v>
      </c>
      <c r="C9" s="7">
        <v>0</v>
      </c>
      <c r="D9" s="8">
        <v>100</v>
      </c>
      <c r="E9" s="8" t="s">
        <v>2</v>
      </c>
      <c r="F9" s="26">
        <f t="shared" si="0"/>
        <v>0</v>
      </c>
    </row>
    <row r="10" spans="1:13" x14ac:dyDescent="0.25">
      <c r="A10" s="11" t="s">
        <v>594</v>
      </c>
      <c r="B10" s="8" t="s">
        <v>59</v>
      </c>
      <c r="C10" s="7">
        <v>0</v>
      </c>
      <c r="D10" s="8">
        <v>15</v>
      </c>
      <c r="E10" s="8" t="s">
        <v>2</v>
      </c>
      <c r="F10" s="26">
        <f t="shared" si="0"/>
        <v>0</v>
      </c>
    </row>
    <row r="11" spans="1:13" x14ac:dyDescent="0.25">
      <c r="B11" s="51" t="s">
        <v>256</v>
      </c>
      <c r="C11" s="51"/>
      <c r="D11" s="51"/>
      <c r="E11" s="51"/>
      <c r="F11" s="9">
        <f>+SUM(F7:F10)</f>
        <v>0</v>
      </c>
    </row>
    <row r="12" spans="1:13" x14ac:dyDescent="0.25">
      <c r="B12" s="51" t="s">
        <v>258</v>
      </c>
      <c r="C12" s="51"/>
      <c r="D12" s="51"/>
      <c r="E12" s="51"/>
      <c r="F12" s="9">
        <f>+F11*0.055</f>
        <v>0</v>
      </c>
    </row>
    <row r="13" spans="1:13" x14ac:dyDescent="0.25">
      <c r="B13" s="51" t="s">
        <v>257</v>
      </c>
      <c r="C13" s="51"/>
      <c r="D13" s="51"/>
      <c r="E13" s="51"/>
      <c r="F13" s="9">
        <f>+F11+F12</f>
        <v>0</v>
      </c>
    </row>
  </sheetData>
  <mergeCells count="5">
    <mergeCell ref="B11:E11"/>
    <mergeCell ref="B12:E12"/>
    <mergeCell ref="B13:E13"/>
    <mergeCell ref="A2:F2"/>
    <mergeCell ref="A4:F4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CD66-D434-4269-9633-A1DBCF7DEF04}">
  <dimension ref="A1:N16"/>
  <sheetViews>
    <sheetView workbookViewId="0">
      <selection activeCell="E24" sqref="E24"/>
    </sheetView>
  </sheetViews>
  <sheetFormatPr baseColWidth="10" defaultColWidth="11.42578125" defaultRowHeight="15" x14ac:dyDescent="0.25"/>
  <cols>
    <col min="1" max="1" width="6.42578125" style="1" customWidth="1"/>
    <col min="2" max="2" width="25.140625" style="1" customWidth="1"/>
    <col min="3" max="3" width="15.42578125" style="1" customWidth="1"/>
    <col min="4" max="4" width="18.28515625" style="1" customWidth="1"/>
    <col min="5" max="5" width="11.42578125" style="1"/>
    <col min="6" max="6" width="22.85546875" style="1" customWidth="1"/>
    <col min="7" max="7" width="21.140625" style="1" customWidth="1"/>
    <col min="8" max="8" width="15.85546875" style="1" customWidth="1"/>
    <col min="9" max="9" width="22.28515625" style="1" bestFit="1" customWidth="1"/>
    <col min="10" max="16384" width="11.42578125" style="1"/>
  </cols>
  <sheetData>
    <row r="1" spans="1:14" ht="6.75" customHeight="1" thickBot="1" x14ac:dyDescent="0.3">
      <c r="J1" s="2"/>
      <c r="K1" s="2"/>
      <c r="L1" s="2"/>
      <c r="M1" s="2"/>
      <c r="N1" s="2"/>
    </row>
    <row r="2" spans="1:14" ht="15.75" thickBot="1" x14ac:dyDescent="0.3">
      <c r="A2" s="52" t="s">
        <v>635</v>
      </c>
      <c r="B2" s="53"/>
      <c r="C2" s="53"/>
      <c r="D2" s="53"/>
      <c r="E2" s="53"/>
      <c r="F2" s="54"/>
      <c r="J2" s="2"/>
      <c r="K2" s="2"/>
      <c r="L2" s="2"/>
      <c r="M2" s="2"/>
      <c r="N2" s="2"/>
    </row>
    <row r="3" spans="1:14" ht="7.5" customHeight="1" thickBot="1" x14ac:dyDescent="0.3">
      <c r="J3" s="2"/>
      <c r="K3" s="2"/>
      <c r="L3" s="2"/>
      <c r="M3" s="2"/>
      <c r="N3" s="2"/>
    </row>
    <row r="4" spans="1:14" ht="15.75" thickBot="1" x14ac:dyDescent="0.3">
      <c r="A4" s="52" t="s">
        <v>299</v>
      </c>
      <c r="B4" s="53"/>
      <c r="C4" s="53"/>
      <c r="D4" s="53"/>
      <c r="E4" s="53"/>
      <c r="F4" s="54"/>
      <c r="J4" s="2"/>
      <c r="K4" s="2"/>
      <c r="L4" s="2"/>
      <c r="M4" s="2"/>
      <c r="N4" s="2"/>
    </row>
    <row r="5" spans="1:14" ht="6" customHeight="1" x14ac:dyDescent="0.25">
      <c r="J5" s="2"/>
      <c r="K5" s="2"/>
      <c r="L5" s="2"/>
      <c r="M5" s="2"/>
      <c r="N5" s="2"/>
    </row>
    <row r="6" spans="1:14" ht="45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  <c r="G6" s="3" t="s">
        <v>701</v>
      </c>
      <c r="H6" s="3" t="s">
        <v>702</v>
      </c>
      <c r="I6" s="3" t="s">
        <v>703</v>
      </c>
    </row>
    <row r="7" spans="1:14" ht="24.95" customHeight="1" x14ac:dyDescent="0.25">
      <c r="A7" s="11" t="s">
        <v>587</v>
      </c>
      <c r="B7" s="27" t="s">
        <v>246</v>
      </c>
      <c r="C7" s="7">
        <v>0</v>
      </c>
      <c r="D7" s="28">
        <v>10</v>
      </c>
      <c r="E7" s="28" t="s">
        <v>2</v>
      </c>
      <c r="F7" s="26">
        <f>+C7*D7</f>
        <v>0</v>
      </c>
      <c r="G7" s="7">
        <v>0</v>
      </c>
      <c r="H7" s="26">
        <v>0</v>
      </c>
      <c r="I7" s="26">
        <v>0</v>
      </c>
    </row>
    <row r="8" spans="1:14" ht="24.95" customHeight="1" x14ac:dyDescent="0.25">
      <c r="A8" s="11" t="s">
        <v>589</v>
      </c>
      <c r="B8" s="27" t="s">
        <v>274</v>
      </c>
      <c r="C8" s="7">
        <v>0</v>
      </c>
      <c r="D8" s="28">
        <v>17.5</v>
      </c>
      <c r="E8" s="28" t="s">
        <v>2</v>
      </c>
      <c r="F8" s="26">
        <f t="shared" ref="F8:F10" si="0">+C8*D8</f>
        <v>0</v>
      </c>
      <c r="G8" s="7">
        <v>0</v>
      </c>
      <c r="H8" s="26">
        <v>0</v>
      </c>
      <c r="I8" s="26">
        <v>0</v>
      </c>
    </row>
    <row r="9" spans="1:14" ht="24.95" customHeight="1" x14ac:dyDescent="0.25">
      <c r="A9" s="11" t="s">
        <v>588</v>
      </c>
      <c r="B9" s="27" t="s">
        <v>30</v>
      </c>
      <c r="C9" s="7">
        <v>0</v>
      </c>
      <c r="D9" s="29">
        <v>3</v>
      </c>
      <c r="E9" s="28" t="s">
        <v>2</v>
      </c>
      <c r="F9" s="26">
        <f t="shared" si="0"/>
        <v>0</v>
      </c>
      <c r="G9" s="7">
        <v>0</v>
      </c>
      <c r="H9" s="26">
        <v>0</v>
      </c>
      <c r="I9" s="26">
        <v>0</v>
      </c>
    </row>
    <row r="10" spans="1:14" s="30" customFormat="1" ht="24.95" customHeight="1" x14ac:dyDescent="0.25">
      <c r="A10" s="11" t="s">
        <v>590</v>
      </c>
      <c r="B10" s="21" t="s">
        <v>136</v>
      </c>
      <c r="C10" s="7">
        <v>0</v>
      </c>
      <c r="D10" s="21">
        <v>120</v>
      </c>
      <c r="E10" s="21" t="s">
        <v>137</v>
      </c>
      <c r="F10" s="26">
        <f t="shared" si="0"/>
        <v>0</v>
      </c>
      <c r="G10" s="7">
        <v>0</v>
      </c>
      <c r="H10" s="26">
        <v>0</v>
      </c>
      <c r="I10" s="26">
        <v>0</v>
      </c>
    </row>
    <row r="11" spans="1:14" x14ac:dyDescent="0.25">
      <c r="B11" s="51" t="s">
        <v>256</v>
      </c>
      <c r="C11" s="51"/>
      <c r="D11" s="51"/>
      <c r="E11" s="51"/>
      <c r="F11" s="9">
        <f>+SUM(F7:F10)</f>
        <v>0</v>
      </c>
    </row>
    <row r="12" spans="1:14" x14ac:dyDescent="0.25">
      <c r="B12" s="51" t="s">
        <v>258</v>
      </c>
      <c r="C12" s="51"/>
      <c r="D12" s="51"/>
      <c r="E12" s="51"/>
      <c r="F12" s="9">
        <f>+F11*0.055</f>
        <v>0</v>
      </c>
    </row>
    <row r="13" spans="1:14" x14ac:dyDescent="0.25">
      <c r="B13" s="51" t="s">
        <v>257</v>
      </c>
      <c r="C13" s="51"/>
      <c r="D13" s="51"/>
      <c r="E13" s="51"/>
      <c r="F13" s="9">
        <f>+F11+F12</f>
        <v>0</v>
      </c>
    </row>
    <row r="15" spans="1:14" x14ac:dyDescent="0.25">
      <c r="B15" s="18" t="s">
        <v>266</v>
      </c>
      <c r="C15" s="19" t="s">
        <v>261</v>
      </c>
      <c r="D15" s="19" t="s">
        <v>262</v>
      </c>
      <c r="E15" s="19" t="s">
        <v>263</v>
      </c>
      <c r="F15" s="19" t="s">
        <v>264</v>
      </c>
      <c r="G15" s="20" t="s">
        <v>265</v>
      </c>
    </row>
    <row r="16" spans="1:14" x14ac:dyDescent="0.25">
      <c r="B16" s="18" t="s">
        <v>260</v>
      </c>
      <c r="C16" s="20" t="s">
        <v>261</v>
      </c>
      <c r="D16" s="20" t="s">
        <v>262</v>
      </c>
      <c r="E16" s="20" t="s">
        <v>263</v>
      </c>
      <c r="F16" s="20" t="s">
        <v>264</v>
      </c>
      <c r="G16" s="20" t="s">
        <v>265</v>
      </c>
    </row>
  </sheetData>
  <mergeCells count="5">
    <mergeCell ref="B11:E11"/>
    <mergeCell ref="B12:E12"/>
    <mergeCell ref="B13:E13"/>
    <mergeCell ref="A2:F2"/>
    <mergeCell ref="A4:F4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C525-06B3-452B-A5FC-E3691AD1244B}">
  <dimension ref="A1:M15"/>
  <sheetViews>
    <sheetView workbookViewId="0">
      <selection activeCell="G6" sqref="G6:I8"/>
    </sheetView>
  </sheetViews>
  <sheetFormatPr baseColWidth="10" defaultColWidth="11.42578125" defaultRowHeight="15" x14ac:dyDescent="0.25"/>
  <cols>
    <col min="1" max="1" width="8" style="1" customWidth="1"/>
    <col min="2" max="2" width="23.7109375" style="1" customWidth="1"/>
    <col min="3" max="3" width="14.42578125" style="1" customWidth="1"/>
    <col min="4" max="4" width="18.28515625" style="1" customWidth="1"/>
    <col min="5" max="5" width="11.42578125" style="1"/>
    <col min="6" max="6" width="17.42578125" style="1" customWidth="1"/>
    <col min="7" max="7" width="22.7109375" style="1" customWidth="1"/>
    <col min="8" max="8" width="22.28515625" style="1" bestFit="1" customWidth="1"/>
    <col min="9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636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45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  <c r="G6" s="3" t="s">
        <v>701</v>
      </c>
      <c r="H6" s="3" t="s">
        <v>702</v>
      </c>
      <c r="I6" s="3" t="s">
        <v>703</v>
      </c>
    </row>
    <row r="7" spans="1:13" ht="24.95" customHeight="1" x14ac:dyDescent="0.25">
      <c r="A7" s="11" t="s">
        <v>584</v>
      </c>
      <c r="B7" s="31" t="s">
        <v>32</v>
      </c>
      <c r="C7" s="7">
        <v>0</v>
      </c>
      <c r="D7" s="31">
        <v>50</v>
      </c>
      <c r="E7" s="31" t="s">
        <v>2</v>
      </c>
      <c r="F7" s="26">
        <f>+C7*D7</f>
        <v>0</v>
      </c>
      <c r="G7" s="7"/>
      <c r="H7" s="26">
        <v>0</v>
      </c>
      <c r="I7" s="26">
        <v>0</v>
      </c>
    </row>
    <row r="8" spans="1:13" ht="24.95" customHeight="1" x14ac:dyDescent="0.25">
      <c r="A8" s="11" t="s">
        <v>585</v>
      </c>
      <c r="B8" s="31" t="s">
        <v>33</v>
      </c>
      <c r="C8" s="7">
        <v>0</v>
      </c>
      <c r="D8" s="31">
        <v>100</v>
      </c>
      <c r="E8" s="31" t="s">
        <v>2</v>
      </c>
      <c r="F8" s="26">
        <f t="shared" ref="F8:F9" si="0">+C8*D8</f>
        <v>0</v>
      </c>
      <c r="G8" s="7"/>
      <c r="H8" s="26">
        <v>0</v>
      </c>
      <c r="I8" s="26">
        <v>0</v>
      </c>
    </row>
    <row r="9" spans="1:13" ht="24.95" customHeight="1" x14ac:dyDescent="0.25">
      <c r="A9" s="11" t="s">
        <v>586</v>
      </c>
      <c r="B9" s="31" t="s">
        <v>34</v>
      </c>
      <c r="C9" s="7">
        <v>0</v>
      </c>
      <c r="D9" s="31">
        <v>100</v>
      </c>
      <c r="E9" s="31" t="s">
        <v>2</v>
      </c>
      <c r="F9" s="26">
        <f t="shared" si="0"/>
        <v>0</v>
      </c>
      <c r="G9" s="41"/>
      <c r="H9" s="42">
        <v>0</v>
      </c>
      <c r="I9" s="42">
        <v>0</v>
      </c>
    </row>
    <row r="10" spans="1:13" x14ac:dyDescent="0.25">
      <c r="B10" s="51" t="s">
        <v>256</v>
      </c>
      <c r="C10" s="51"/>
      <c r="D10" s="51"/>
      <c r="E10" s="51"/>
      <c r="F10" s="40">
        <f>+SUM(F7:F9)</f>
        <v>0</v>
      </c>
      <c r="G10" s="45"/>
      <c r="H10" s="46"/>
      <c r="I10" s="46"/>
    </row>
    <row r="11" spans="1:13" x14ac:dyDescent="0.25">
      <c r="B11" s="51" t="s">
        <v>258</v>
      </c>
      <c r="C11" s="51"/>
      <c r="D11" s="51"/>
      <c r="E11" s="51"/>
      <c r="F11" s="9">
        <f>+F10*0.055</f>
        <v>0</v>
      </c>
    </row>
    <row r="12" spans="1:13" x14ac:dyDescent="0.25">
      <c r="B12" s="51" t="s">
        <v>257</v>
      </c>
      <c r="C12" s="51"/>
      <c r="D12" s="51"/>
      <c r="E12" s="51"/>
      <c r="F12" s="9">
        <f>+F10+F11</f>
        <v>0</v>
      </c>
    </row>
    <row r="14" spans="1:13" x14ac:dyDescent="0.25">
      <c r="B14" s="18" t="s">
        <v>266</v>
      </c>
      <c r="C14" s="19" t="s">
        <v>261</v>
      </c>
      <c r="D14" s="19" t="s">
        <v>262</v>
      </c>
      <c r="E14" s="19" t="s">
        <v>263</v>
      </c>
      <c r="F14" s="19" t="s">
        <v>264</v>
      </c>
      <c r="G14" s="20" t="s">
        <v>265</v>
      </c>
    </row>
    <row r="15" spans="1:13" x14ac:dyDescent="0.25">
      <c r="B15" s="18" t="s">
        <v>260</v>
      </c>
      <c r="C15" s="20" t="s">
        <v>261</v>
      </c>
      <c r="D15" s="20" t="s">
        <v>262</v>
      </c>
      <c r="E15" s="20" t="s">
        <v>263</v>
      </c>
      <c r="F15" s="20" t="s">
        <v>264</v>
      </c>
      <c r="G15" s="20" t="s">
        <v>265</v>
      </c>
    </row>
  </sheetData>
  <mergeCells count="5">
    <mergeCell ref="B10:E10"/>
    <mergeCell ref="B11:E11"/>
    <mergeCell ref="B12:E12"/>
    <mergeCell ref="A2:F2"/>
    <mergeCell ref="A4:F4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771E-AF23-4F3F-A62D-2B643962C626}">
  <dimension ref="A1:M14"/>
  <sheetViews>
    <sheetView workbookViewId="0">
      <selection activeCell="G6" sqref="G6:I8"/>
    </sheetView>
  </sheetViews>
  <sheetFormatPr baseColWidth="10" defaultColWidth="11.42578125" defaultRowHeight="15" x14ac:dyDescent="0.25"/>
  <cols>
    <col min="1" max="1" width="8.85546875" style="1" customWidth="1"/>
    <col min="2" max="2" width="22.28515625" style="1" customWidth="1"/>
    <col min="3" max="3" width="13.7109375" style="1" customWidth="1"/>
    <col min="4" max="4" width="19.85546875" style="1" customWidth="1"/>
    <col min="5" max="5" width="11.42578125" style="1"/>
    <col min="6" max="6" width="24.28515625" style="1" customWidth="1"/>
    <col min="7" max="7" width="16.85546875" style="1" customWidth="1"/>
    <col min="8" max="8" width="19.7109375" style="1" customWidth="1"/>
    <col min="9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637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45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  <c r="G6" s="3" t="s">
        <v>701</v>
      </c>
      <c r="H6" s="3" t="s">
        <v>702</v>
      </c>
      <c r="I6" s="3" t="s">
        <v>703</v>
      </c>
    </row>
    <row r="7" spans="1:13" ht="24.95" customHeight="1" x14ac:dyDescent="0.25">
      <c r="A7" s="11" t="s">
        <v>582</v>
      </c>
      <c r="B7" s="8" t="s">
        <v>35</v>
      </c>
      <c r="C7" s="7">
        <v>0</v>
      </c>
      <c r="D7" s="32">
        <v>5000</v>
      </c>
      <c r="E7" s="33" t="s">
        <v>204</v>
      </c>
      <c r="F7" s="26">
        <f>+C7*D7</f>
        <v>0</v>
      </c>
      <c r="G7" s="7"/>
      <c r="H7" s="26">
        <v>0</v>
      </c>
      <c r="I7" s="26">
        <v>0</v>
      </c>
    </row>
    <row r="8" spans="1:13" ht="24.95" customHeight="1" x14ac:dyDescent="0.25">
      <c r="A8" s="11" t="s">
        <v>583</v>
      </c>
      <c r="B8" s="8" t="s">
        <v>247</v>
      </c>
      <c r="C8" s="7">
        <v>0</v>
      </c>
      <c r="D8" s="8">
        <v>2500</v>
      </c>
      <c r="E8" s="33" t="s">
        <v>204</v>
      </c>
      <c r="F8" s="26">
        <f>+C8*D8</f>
        <v>0</v>
      </c>
      <c r="G8" s="7"/>
      <c r="H8" s="26">
        <v>0</v>
      </c>
      <c r="I8" s="26">
        <v>0</v>
      </c>
    </row>
    <row r="9" spans="1:13" x14ac:dyDescent="0.25">
      <c r="B9" s="51" t="s">
        <v>256</v>
      </c>
      <c r="C9" s="51"/>
      <c r="D9" s="51"/>
      <c r="E9" s="51"/>
      <c r="F9" s="9">
        <f>+SUM(F7:F8)</f>
        <v>0</v>
      </c>
    </row>
    <row r="10" spans="1:13" x14ac:dyDescent="0.25">
      <c r="B10" s="51" t="s">
        <v>258</v>
      </c>
      <c r="C10" s="51"/>
      <c r="D10" s="51"/>
      <c r="E10" s="51"/>
      <c r="F10" s="9">
        <f>+F9*0.055</f>
        <v>0</v>
      </c>
    </row>
    <row r="11" spans="1:13" x14ac:dyDescent="0.25">
      <c r="B11" s="51" t="s">
        <v>257</v>
      </c>
      <c r="C11" s="51"/>
      <c r="D11" s="51"/>
      <c r="E11" s="51"/>
      <c r="F11" s="9">
        <f>+F9+F10</f>
        <v>0</v>
      </c>
    </row>
    <row r="13" spans="1:13" x14ac:dyDescent="0.25">
      <c r="B13" s="18" t="s">
        <v>266</v>
      </c>
      <c r="C13" s="19" t="s">
        <v>261</v>
      </c>
      <c r="D13" s="19" t="s">
        <v>262</v>
      </c>
      <c r="E13" s="19" t="s">
        <v>263</v>
      </c>
      <c r="F13" s="19" t="s">
        <v>264</v>
      </c>
      <c r="G13" s="20" t="s">
        <v>265</v>
      </c>
    </row>
    <row r="14" spans="1:13" x14ac:dyDescent="0.25">
      <c r="B14" s="18" t="s">
        <v>260</v>
      </c>
      <c r="C14" s="20" t="s">
        <v>261</v>
      </c>
      <c r="D14" s="20" t="s">
        <v>262</v>
      </c>
      <c r="E14" s="20" t="s">
        <v>263</v>
      </c>
      <c r="F14" s="20" t="s">
        <v>264</v>
      </c>
      <c r="G14" s="20" t="s">
        <v>265</v>
      </c>
    </row>
  </sheetData>
  <mergeCells count="5">
    <mergeCell ref="B9:E9"/>
    <mergeCell ref="B10:E10"/>
    <mergeCell ref="B11:E11"/>
    <mergeCell ref="A2:F2"/>
    <mergeCell ref="A4:F4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AC4A-0AD0-423D-8999-F0BF1BA667FC}">
  <dimension ref="A1:M16"/>
  <sheetViews>
    <sheetView workbookViewId="0">
      <selection activeCell="G6" sqref="G6:I10"/>
    </sheetView>
  </sheetViews>
  <sheetFormatPr baseColWidth="10" defaultColWidth="11.42578125" defaultRowHeight="15" x14ac:dyDescent="0.25"/>
  <cols>
    <col min="1" max="1" width="6.42578125" style="1" customWidth="1"/>
    <col min="2" max="2" width="26.85546875" style="1" customWidth="1"/>
    <col min="3" max="3" width="18.28515625" style="1" customWidth="1"/>
    <col min="4" max="4" width="18.85546875" style="1" customWidth="1"/>
    <col min="5" max="5" width="11.42578125" style="1"/>
    <col min="6" max="6" width="21.5703125" style="1" customWidth="1"/>
    <col min="7" max="7" width="26.85546875" style="1" customWidth="1"/>
    <col min="8" max="8" width="22.28515625" style="1" bestFit="1" customWidth="1"/>
    <col min="9" max="9" width="14.140625" style="1" customWidth="1"/>
    <col min="10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638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45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  <c r="G6" s="3" t="s">
        <v>701</v>
      </c>
      <c r="H6" s="3" t="s">
        <v>702</v>
      </c>
      <c r="I6" s="3" t="s">
        <v>703</v>
      </c>
    </row>
    <row r="7" spans="1:13" ht="24.95" customHeight="1" x14ac:dyDescent="0.25">
      <c r="A7" s="11" t="s">
        <v>578</v>
      </c>
      <c r="B7" s="8" t="s">
        <v>39</v>
      </c>
      <c r="C7" s="7">
        <v>0</v>
      </c>
      <c r="D7" s="21">
        <v>60</v>
      </c>
      <c r="E7" s="8" t="s">
        <v>2</v>
      </c>
      <c r="F7" s="26">
        <f>+C7*D7</f>
        <v>0</v>
      </c>
      <c r="G7" s="7"/>
      <c r="H7" s="26">
        <v>0</v>
      </c>
      <c r="I7" s="26">
        <v>0</v>
      </c>
    </row>
    <row r="8" spans="1:13" ht="24.95" customHeight="1" x14ac:dyDescent="0.25">
      <c r="A8" s="11" t="s">
        <v>579</v>
      </c>
      <c r="B8" s="8" t="s">
        <v>40</v>
      </c>
      <c r="C8" s="7">
        <v>0</v>
      </c>
      <c r="D8" s="21">
        <v>60</v>
      </c>
      <c r="E8" s="8" t="s">
        <v>2</v>
      </c>
      <c r="F8" s="26">
        <f t="shared" ref="F8:F10" si="0">+C8*D8</f>
        <v>0</v>
      </c>
      <c r="G8" s="7"/>
      <c r="H8" s="26">
        <v>0</v>
      </c>
      <c r="I8" s="26">
        <v>0</v>
      </c>
    </row>
    <row r="9" spans="1:13" s="34" customFormat="1" ht="24.95" customHeight="1" x14ac:dyDescent="0.25">
      <c r="A9" s="11" t="s">
        <v>580</v>
      </c>
      <c r="B9" s="21" t="s">
        <v>202</v>
      </c>
      <c r="C9" s="7">
        <v>0</v>
      </c>
      <c r="D9" s="21">
        <v>60</v>
      </c>
      <c r="E9" s="8" t="s">
        <v>2</v>
      </c>
      <c r="F9" s="26">
        <f t="shared" si="0"/>
        <v>0</v>
      </c>
      <c r="G9" s="7"/>
      <c r="H9" s="26">
        <v>0</v>
      </c>
      <c r="I9" s="26">
        <v>0</v>
      </c>
    </row>
    <row r="10" spans="1:13" s="34" customFormat="1" ht="24.95" customHeight="1" x14ac:dyDescent="0.25">
      <c r="A10" s="11" t="s">
        <v>581</v>
      </c>
      <c r="B10" s="8" t="s">
        <v>41</v>
      </c>
      <c r="C10" s="7">
        <v>0</v>
      </c>
      <c r="D10" s="21">
        <v>30</v>
      </c>
      <c r="E10" s="8" t="s">
        <v>2</v>
      </c>
      <c r="F10" s="26">
        <f t="shared" si="0"/>
        <v>0</v>
      </c>
      <c r="G10" s="7"/>
      <c r="H10" s="26">
        <v>0</v>
      </c>
      <c r="I10" s="26">
        <v>0</v>
      </c>
    </row>
    <row r="11" spans="1:13" x14ac:dyDescent="0.25">
      <c r="B11" s="51" t="s">
        <v>256</v>
      </c>
      <c r="C11" s="51"/>
      <c r="D11" s="51"/>
      <c r="E11" s="51"/>
      <c r="F11" s="9">
        <f>+SUM(F7:F10)</f>
        <v>0</v>
      </c>
    </row>
    <row r="12" spans="1:13" x14ac:dyDescent="0.25">
      <c r="B12" s="51" t="s">
        <v>258</v>
      </c>
      <c r="C12" s="51"/>
      <c r="D12" s="51"/>
      <c r="E12" s="51"/>
      <c r="F12" s="9">
        <f>+F11*0.055</f>
        <v>0</v>
      </c>
    </row>
    <row r="13" spans="1:13" x14ac:dyDescent="0.25">
      <c r="B13" s="51" t="s">
        <v>257</v>
      </c>
      <c r="C13" s="51"/>
      <c r="D13" s="51"/>
      <c r="E13" s="51"/>
      <c r="F13" s="9">
        <f>+F11+F12</f>
        <v>0</v>
      </c>
    </row>
    <row r="15" spans="1:13" x14ac:dyDescent="0.25">
      <c r="B15" s="18" t="s">
        <v>266</v>
      </c>
      <c r="C15" s="19" t="s">
        <v>261</v>
      </c>
      <c r="D15" s="19" t="s">
        <v>262</v>
      </c>
      <c r="E15" s="19" t="s">
        <v>263</v>
      </c>
      <c r="F15" s="19" t="s">
        <v>264</v>
      </c>
      <c r="G15" s="20" t="s">
        <v>265</v>
      </c>
    </row>
    <row r="16" spans="1:13" x14ac:dyDescent="0.25">
      <c r="B16" s="18" t="s">
        <v>260</v>
      </c>
      <c r="C16" s="20" t="s">
        <v>261</v>
      </c>
      <c r="D16" s="20" t="s">
        <v>262</v>
      </c>
      <c r="E16" s="20" t="s">
        <v>263</v>
      </c>
      <c r="F16" s="20" t="s">
        <v>264</v>
      </c>
      <c r="G16" s="20" t="s">
        <v>265</v>
      </c>
    </row>
  </sheetData>
  <mergeCells count="5">
    <mergeCell ref="B11:E11"/>
    <mergeCell ref="B12:E12"/>
    <mergeCell ref="B13:E13"/>
    <mergeCell ref="A2:F2"/>
    <mergeCell ref="A4:F4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EF4E-5B1C-4FCE-9EC2-7AB3C71A1173}">
  <dimension ref="A1:M16"/>
  <sheetViews>
    <sheetView workbookViewId="0">
      <selection activeCell="G6" sqref="G6:I10"/>
    </sheetView>
  </sheetViews>
  <sheetFormatPr baseColWidth="10" defaultColWidth="11.42578125" defaultRowHeight="15" x14ac:dyDescent="0.25"/>
  <cols>
    <col min="1" max="1" width="3" style="1" bestFit="1" customWidth="1"/>
    <col min="2" max="2" width="30.28515625" style="1" customWidth="1"/>
    <col min="3" max="3" width="15" style="1" customWidth="1"/>
    <col min="4" max="4" width="17" style="1" customWidth="1"/>
    <col min="5" max="5" width="11.42578125" style="1"/>
    <col min="6" max="6" width="21.28515625" style="1" customWidth="1"/>
    <col min="7" max="7" width="20" style="1" customWidth="1"/>
    <col min="8" max="8" width="22.28515625" style="1" bestFit="1" customWidth="1"/>
    <col min="9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639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45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  <c r="G6" s="3" t="s">
        <v>701</v>
      </c>
      <c r="H6" s="3" t="s">
        <v>702</v>
      </c>
      <c r="I6" s="3" t="s">
        <v>703</v>
      </c>
    </row>
    <row r="7" spans="1:13" ht="24.95" customHeight="1" x14ac:dyDescent="0.25">
      <c r="A7" s="11" t="s">
        <v>574</v>
      </c>
      <c r="B7" s="8" t="s">
        <v>248</v>
      </c>
      <c r="C7" s="7">
        <v>0</v>
      </c>
      <c r="D7" s="21">
        <v>60</v>
      </c>
      <c r="E7" s="8" t="s">
        <v>2</v>
      </c>
      <c r="F7" s="26">
        <f>+C7*D7</f>
        <v>0</v>
      </c>
      <c r="G7" s="7"/>
      <c r="H7" s="26">
        <v>0</v>
      </c>
      <c r="I7" s="26">
        <v>0</v>
      </c>
    </row>
    <row r="8" spans="1:13" ht="24.95" customHeight="1" x14ac:dyDescent="0.25">
      <c r="A8" s="11" t="s">
        <v>575</v>
      </c>
      <c r="B8" s="8" t="s">
        <v>249</v>
      </c>
      <c r="C8" s="7">
        <v>0</v>
      </c>
      <c r="D8" s="21">
        <v>60</v>
      </c>
      <c r="E8" s="8" t="s">
        <v>2</v>
      </c>
      <c r="F8" s="26">
        <f t="shared" ref="F8:F10" si="0">+C8*D8</f>
        <v>0</v>
      </c>
      <c r="G8" s="7"/>
      <c r="H8" s="26">
        <v>0</v>
      </c>
      <c r="I8" s="26">
        <v>0</v>
      </c>
    </row>
    <row r="9" spans="1:13" s="34" customFormat="1" ht="24.95" customHeight="1" x14ac:dyDescent="0.25">
      <c r="A9" s="11" t="s">
        <v>576</v>
      </c>
      <c r="B9" s="21" t="s">
        <v>250</v>
      </c>
      <c r="C9" s="7">
        <v>0</v>
      </c>
      <c r="D9" s="21">
        <v>60</v>
      </c>
      <c r="E9" s="8" t="s">
        <v>2</v>
      </c>
      <c r="F9" s="26">
        <f t="shared" si="0"/>
        <v>0</v>
      </c>
      <c r="G9" s="7"/>
      <c r="H9" s="26">
        <v>0</v>
      </c>
      <c r="I9" s="26">
        <v>0</v>
      </c>
    </row>
    <row r="10" spans="1:13" s="34" customFormat="1" ht="24.95" customHeight="1" x14ac:dyDescent="0.25">
      <c r="A10" s="11" t="s">
        <v>577</v>
      </c>
      <c r="B10" s="8" t="s">
        <v>251</v>
      </c>
      <c r="C10" s="7">
        <v>0</v>
      </c>
      <c r="D10" s="21">
        <v>30</v>
      </c>
      <c r="E10" s="8" t="s">
        <v>2</v>
      </c>
      <c r="F10" s="26">
        <f t="shared" si="0"/>
        <v>0</v>
      </c>
      <c r="G10" s="7"/>
      <c r="H10" s="26">
        <v>0</v>
      </c>
      <c r="I10" s="26">
        <v>0</v>
      </c>
    </row>
    <row r="11" spans="1:13" x14ac:dyDescent="0.25">
      <c r="B11" s="51" t="s">
        <v>256</v>
      </c>
      <c r="C11" s="51"/>
      <c r="D11" s="51"/>
      <c r="E11" s="51"/>
      <c r="F11" s="9">
        <f>+SUM(F7:F10)</f>
        <v>0</v>
      </c>
    </row>
    <row r="12" spans="1:13" x14ac:dyDescent="0.25">
      <c r="B12" s="51" t="s">
        <v>258</v>
      </c>
      <c r="C12" s="51"/>
      <c r="D12" s="51"/>
      <c r="E12" s="51"/>
      <c r="F12" s="9">
        <f>+F11*0.055</f>
        <v>0</v>
      </c>
    </row>
    <row r="13" spans="1:13" x14ac:dyDescent="0.25">
      <c r="B13" s="51" t="s">
        <v>257</v>
      </c>
      <c r="C13" s="51"/>
      <c r="D13" s="51"/>
      <c r="E13" s="51"/>
      <c r="F13" s="9">
        <f>+F11+F12</f>
        <v>0</v>
      </c>
    </row>
    <row r="15" spans="1:13" x14ac:dyDescent="0.25">
      <c r="B15" s="18" t="s">
        <v>266</v>
      </c>
      <c r="C15" s="19" t="s">
        <v>261</v>
      </c>
      <c r="D15" s="19" t="s">
        <v>262</v>
      </c>
      <c r="E15" s="19" t="s">
        <v>263</v>
      </c>
      <c r="F15" s="19" t="s">
        <v>264</v>
      </c>
      <c r="G15" s="20" t="s">
        <v>265</v>
      </c>
    </row>
    <row r="16" spans="1:13" x14ac:dyDescent="0.25">
      <c r="B16" s="18" t="s">
        <v>260</v>
      </c>
      <c r="C16" s="20" t="s">
        <v>261</v>
      </c>
      <c r="D16" s="20" t="s">
        <v>262</v>
      </c>
      <c r="E16" s="20" t="s">
        <v>263</v>
      </c>
      <c r="F16" s="20" t="s">
        <v>264</v>
      </c>
      <c r="G16" s="20" t="s">
        <v>265</v>
      </c>
    </row>
  </sheetData>
  <mergeCells count="5">
    <mergeCell ref="B11:E11"/>
    <mergeCell ref="B12:E12"/>
    <mergeCell ref="B13:E13"/>
    <mergeCell ref="A2:F2"/>
    <mergeCell ref="A4:F4"/>
  </mergeCells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D794-E057-408C-A77D-F9E866B77911}">
  <dimension ref="A1:M22"/>
  <sheetViews>
    <sheetView tabSelected="1" zoomScaleNormal="100" workbookViewId="0">
      <selection activeCell="L20" sqref="L20"/>
    </sheetView>
  </sheetViews>
  <sheetFormatPr baseColWidth="10" defaultColWidth="11.42578125" defaultRowHeight="15" x14ac:dyDescent="0.25"/>
  <cols>
    <col min="1" max="1" width="8.140625" style="1" customWidth="1"/>
    <col min="2" max="2" width="36" style="1" customWidth="1"/>
    <col min="3" max="3" width="15" style="1" customWidth="1"/>
    <col min="4" max="4" width="19.140625" style="1" customWidth="1"/>
    <col min="5" max="5" width="21.7109375" style="1" bestFit="1" customWidth="1"/>
    <col min="6" max="6" width="22.140625" style="1" customWidth="1"/>
    <col min="7" max="7" width="23" style="1" customWidth="1"/>
    <col min="8" max="8" width="22.28515625" style="1" bestFit="1" customWidth="1"/>
    <col min="9" max="9" width="14.42578125" style="1" customWidth="1"/>
    <col min="10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640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45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  <c r="G6" s="3" t="s">
        <v>701</v>
      </c>
      <c r="H6" s="3" t="s">
        <v>702</v>
      </c>
      <c r="I6" s="3" t="s">
        <v>703</v>
      </c>
    </row>
    <row r="7" spans="1:13" ht="24.95" customHeight="1" x14ac:dyDescent="0.25">
      <c r="A7" s="11" t="s">
        <v>565</v>
      </c>
      <c r="B7" s="8" t="s">
        <v>708</v>
      </c>
      <c r="C7" s="7">
        <v>0</v>
      </c>
      <c r="D7" s="32">
        <v>40</v>
      </c>
      <c r="E7" s="32" t="s">
        <v>2</v>
      </c>
      <c r="F7" s="26">
        <f>+C7*D7</f>
        <v>0</v>
      </c>
      <c r="G7" s="7"/>
      <c r="H7" s="26">
        <v>0</v>
      </c>
      <c r="I7" s="26">
        <v>0</v>
      </c>
    </row>
    <row r="8" spans="1:13" ht="24.95" customHeight="1" x14ac:dyDescent="0.25">
      <c r="A8" s="11" t="s">
        <v>566</v>
      </c>
      <c r="B8" s="8" t="s">
        <v>709</v>
      </c>
      <c r="C8" s="7">
        <v>0</v>
      </c>
      <c r="D8" s="8">
        <v>650</v>
      </c>
      <c r="E8" s="32" t="s">
        <v>2</v>
      </c>
      <c r="F8" s="26">
        <f t="shared" ref="F8:F16" si="0">+C8*D8</f>
        <v>0</v>
      </c>
      <c r="G8" s="7"/>
      <c r="H8" s="26">
        <v>0</v>
      </c>
      <c r="I8" s="26">
        <v>0</v>
      </c>
    </row>
    <row r="9" spans="1:13" ht="24.95" customHeight="1" x14ac:dyDescent="0.25">
      <c r="A9" s="11" t="s">
        <v>567</v>
      </c>
      <c r="B9" s="8" t="s">
        <v>710</v>
      </c>
      <c r="C9" s="7">
        <v>0</v>
      </c>
      <c r="D9" s="8">
        <v>100</v>
      </c>
      <c r="E9" s="32" t="s">
        <v>2</v>
      </c>
      <c r="F9" s="26">
        <f t="shared" si="0"/>
        <v>0</v>
      </c>
      <c r="G9" s="7"/>
      <c r="H9" s="26">
        <v>0</v>
      </c>
      <c r="I9" s="26">
        <v>0</v>
      </c>
    </row>
    <row r="10" spans="1:13" ht="24.95" customHeight="1" x14ac:dyDescent="0.25">
      <c r="A10" s="11" t="s">
        <v>568</v>
      </c>
      <c r="B10" s="8" t="s">
        <v>707</v>
      </c>
      <c r="C10" s="7">
        <v>0</v>
      </c>
      <c r="D10" s="8">
        <v>600</v>
      </c>
      <c r="E10" s="32" t="s">
        <v>2</v>
      </c>
      <c r="F10" s="26">
        <f t="shared" si="0"/>
        <v>0</v>
      </c>
      <c r="G10" s="7"/>
      <c r="H10" s="26">
        <v>0</v>
      </c>
      <c r="I10" s="26">
        <v>0</v>
      </c>
    </row>
    <row r="11" spans="1:13" ht="24.95" customHeight="1" x14ac:dyDescent="0.25">
      <c r="A11" s="11" t="s">
        <v>569</v>
      </c>
      <c r="B11" s="8" t="s">
        <v>705</v>
      </c>
      <c r="C11" s="7">
        <v>0</v>
      </c>
      <c r="D11" s="8">
        <v>150</v>
      </c>
      <c r="E11" s="32" t="s">
        <v>2</v>
      </c>
      <c r="F11" s="26">
        <f t="shared" si="0"/>
        <v>0</v>
      </c>
      <c r="G11" s="7"/>
      <c r="H11" s="26">
        <v>0</v>
      </c>
      <c r="I11" s="26">
        <v>0</v>
      </c>
    </row>
    <row r="12" spans="1:13" ht="24.95" customHeight="1" x14ac:dyDescent="0.25">
      <c r="A12" s="11" t="s">
        <v>570</v>
      </c>
      <c r="B12" s="8" t="s">
        <v>706</v>
      </c>
      <c r="C12" s="7">
        <v>0</v>
      </c>
      <c r="D12" s="8">
        <v>20</v>
      </c>
      <c r="E12" s="32" t="s">
        <v>2</v>
      </c>
      <c r="F12" s="26">
        <f t="shared" si="0"/>
        <v>0</v>
      </c>
      <c r="G12" s="7"/>
      <c r="H12" s="26">
        <v>0</v>
      </c>
      <c r="I12" s="26">
        <v>0</v>
      </c>
    </row>
    <row r="13" spans="1:13" ht="24.95" customHeight="1" x14ac:dyDescent="0.25">
      <c r="A13" s="11" t="s">
        <v>571</v>
      </c>
      <c r="B13" s="8" t="s">
        <v>666</v>
      </c>
      <c r="C13" s="7">
        <v>0</v>
      </c>
      <c r="D13" s="8">
        <v>2500</v>
      </c>
      <c r="E13" s="32" t="s">
        <v>14</v>
      </c>
      <c r="F13" s="26">
        <f t="shared" si="0"/>
        <v>0</v>
      </c>
      <c r="G13" s="7"/>
      <c r="H13" s="26">
        <v>0</v>
      </c>
      <c r="I13" s="26">
        <v>0</v>
      </c>
    </row>
    <row r="14" spans="1:13" ht="24.95" customHeight="1" x14ac:dyDescent="0.25">
      <c r="A14" s="11" t="s">
        <v>572</v>
      </c>
      <c r="B14" s="8" t="s">
        <v>664</v>
      </c>
      <c r="C14" s="7">
        <v>0</v>
      </c>
      <c r="D14" s="8">
        <v>2500</v>
      </c>
      <c r="E14" s="8" t="s">
        <v>14</v>
      </c>
      <c r="F14" s="26">
        <f t="shared" si="0"/>
        <v>0</v>
      </c>
      <c r="G14" s="7"/>
      <c r="H14" s="26">
        <v>0</v>
      </c>
      <c r="I14" s="26">
        <v>0</v>
      </c>
    </row>
    <row r="15" spans="1:13" ht="24.95" customHeight="1" x14ac:dyDescent="0.25">
      <c r="A15" s="11" t="s">
        <v>573</v>
      </c>
      <c r="B15" s="8" t="s">
        <v>665</v>
      </c>
      <c r="C15" s="7">
        <v>0</v>
      </c>
      <c r="D15" s="8">
        <v>500</v>
      </c>
      <c r="E15" s="8" t="s">
        <v>201</v>
      </c>
      <c r="F15" s="26">
        <f t="shared" si="0"/>
        <v>0</v>
      </c>
      <c r="G15" s="7"/>
      <c r="H15" s="26">
        <v>0</v>
      </c>
      <c r="I15" s="26">
        <v>0</v>
      </c>
    </row>
    <row r="16" spans="1:13" ht="24.95" customHeight="1" x14ac:dyDescent="0.25">
      <c r="A16" s="11" t="s">
        <v>667</v>
      </c>
      <c r="B16" s="8" t="s">
        <v>649</v>
      </c>
      <c r="C16" s="7">
        <v>0</v>
      </c>
      <c r="D16" s="8">
        <v>10</v>
      </c>
      <c r="E16" s="8" t="s">
        <v>650</v>
      </c>
      <c r="F16" s="26">
        <f t="shared" si="0"/>
        <v>0</v>
      </c>
      <c r="G16" s="7"/>
      <c r="H16" s="26">
        <v>0</v>
      </c>
      <c r="I16" s="26">
        <v>0</v>
      </c>
    </row>
    <row r="17" spans="2:7" x14ac:dyDescent="0.25">
      <c r="B17" s="51" t="s">
        <v>256</v>
      </c>
      <c r="C17" s="51"/>
      <c r="D17" s="51"/>
      <c r="E17" s="51"/>
      <c r="F17" s="9">
        <f>+SUM(F7:F16)</f>
        <v>0</v>
      </c>
    </row>
    <row r="18" spans="2:7" x14ac:dyDescent="0.25">
      <c r="B18" s="51" t="s">
        <v>258</v>
      </c>
      <c r="C18" s="51"/>
      <c r="D18" s="51"/>
      <c r="E18" s="51"/>
      <c r="F18" s="9">
        <f>+F17*0.055</f>
        <v>0</v>
      </c>
    </row>
    <row r="19" spans="2:7" x14ac:dyDescent="0.25">
      <c r="B19" s="51" t="s">
        <v>257</v>
      </c>
      <c r="C19" s="51"/>
      <c r="D19" s="51"/>
      <c r="E19" s="51"/>
      <c r="F19" s="9">
        <f>+F17+F18</f>
        <v>0</v>
      </c>
    </row>
    <row r="21" spans="2:7" x14ac:dyDescent="0.25">
      <c r="B21" s="18" t="s">
        <v>266</v>
      </c>
      <c r="C21" s="19" t="s">
        <v>261</v>
      </c>
      <c r="D21" s="19" t="s">
        <v>262</v>
      </c>
      <c r="E21" s="19" t="s">
        <v>263</v>
      </c>
      <c r="F21" s="19" t="s">
        <v>264</v>
      </c>
      <c r="G21" s="20" t="s">
        <v>265</v>
      </c>
    </row>
    <row r="22" spans="2:7" x14ac:dyDescent="0.25">
      <c r="B22" s="18" t="s">
        <v>260</v>
      </c>
      <c r="C22" s="20" t="s">
        <v>261</v>
      </c>
      <c r="D22" s="20" t="s">
        <v>262</v>
      </c>
      <c r="E22" s="20" t="s">
        <v>263</v>
      </c>
      <c r="F22" s="20" t="s">
        <v>264</v>
      </c>
      <c r="G22" s="20" t="s">
        <v>265</v>
      </c>
    </row>
  </sheetData>
  <mergeCells count="5">
    <mergeCell ref="B17:E17"/>
    <mergeCell ref="B18:E18"/>
    <mergeCell ref="B19:E19"/>
    <mergeCell ref="A2:F2"/>
    <mergeCell ref="A4:F4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7111-2613-49E4-9ECB-82A0762ADC9F}">
  <dimension ref="A1:L81"/>
  <sheetViews>
    <sheetView topLeftCell="A71" zoomScaleNormal="100" workbookViewId="0">
      <selection activeCell="L16" sqref="L16"/>
    </sheetView>
  </sheetViews>
  <sheetFormatPr baseColWidth="10" defaultColWidth="11.42578125" defaultRowHeight="15" x14ac:dyDescent="0.25"/>
  <cols>
    <col min="1" max="1" width="6.28515625" style="1" customWidth="1"/>
    <col min="2" max="2" width="34.5703125" style="1" bestFit="1" customWidth="1"/>
    <col min="3" max="3" width="15.28515625" style="1" customWidth="1"/>
    <col min="4" max="4" width="18.7109375" style="1" customWidth="1"/>
    <col min="5" max="5" width="7.85546875" style="1" bestFit="1" customWidth="1"/>
    <col min="6" max="6" width="25" style="1" customWidth="1"/>
    <col min="7" max="7" width="24.85546875" style="1" customWidth="1"/>
    <col min="8" max="8" width="20.28515625" style="1" customWidth="1"/>
    <col min="9" max="9" width="20.5703125" style="1" customWidth="1"/>
    <col min="10" max="16384" width="11.42578125" style="1"/>
  </cols>
  <sheetData>
    <row r="1" spans="1:12" ht="6.75" customHeight="1" thickBot="1" x14ac:dyDescent="0.3">
      <c r="H1" s="2"/>
      <c r="I1" s="2"/>
      <c r="J1" s="2"/>
      <c r="K1" s="2"/>
      <c r="L1" s="2"/>
    </row>
    <row r="2" spans="1:12" ht="15.75" thickBot="1" x14ac:dyDescent="0.3">
      <c r="A2" s="52" t="s">
        <v>641</v>
      </c>
      <c r="B2" s="53"/>
      <c r="C2" s="53"/>
      <c r="D2" s="53"/>
      <c r="E2" s="53"/>
      <c r="F2" s="54"/>
      <c r="H2" s="2"/>
      <c r="I2" s="2"/>
      <c r="J2" s="2"/>
      <c r="K2" s="2"/>
      <c r="L2" s="2"/>
    </row>
    <row r="3" spans="1:12" ht="7.5" customHeight="1" thickBot="1" x14ac:dyDescent="0.3">
      <c r="H3" s="2"/>
      <c r="I3" s="2"/>
      <c r="J3" s="2"/>
      <c r="K3" s="2"/>
      <c r="L3" s="2"/>
    </row>
    <row r="4" spans="1:12" ht="15.75" thickBot="1" x14ac:dyDescent="0.3">
      <c r="A4" s="52" t="s">
        <v>299</v>
      </c>
      <c r="B4" s="53"/>
      <c r="C4" s="53"/>
      <c r="D4" s="53"/>
      <c r="E4" s="53"/>
      <c r="F4" s="54"/>
      <c r="H4" s="2"/>
      <c r="I4" s="2"/>
      <c r="J4" s="2"/>
      <c r="K4" s="2"/>
      <c r="L4" s="2"/>
    </row>
    <row r="5" spans="1:12" ht="6" customHeight="1" x14ac:dyDescent="0.25">
      <c r="H5" s="2"/>
      <c r="I5" s="2"/>
      <c r="J5" s="2"/>
      <c r="K5" s="2"/>
      <c r="L5" s="2"/>
    </row>
    <row r="6" spans="1:12" ht="45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  <c r="G6" s="3" t="s">
        <v>701</v>
      </c>
      <c r="H6" s="3" t="s">
        <v>702</v>
      </c>
      <c r="I6" s="3" t="s">
        <v>703</v>
      </c>
    </row>
    <row r="7" spans="1:12" ht="24.95" customHeight="1" x14ac:dyDescent="0.25">
      <c r="A7" s="11" t="s">
        <v>496</v>
      </c>
      <c r="B7" s="8" t="s">
        <v>75</v>
      </c>
      <c r="C7" s="7">
        <v>0</v>
      </c>
      <c r="D7" s="8">
        <f>L20_EPICERIE_AB!D7/4</f>
        <v>62.5</v>
      </c>
      <c r="E7" s="8" t="s">
        <v>2</v>
      </c>
      <c r="F7" s="26">
        <f t="shared" ref="F7:F38" si="0">+C7*D7</f>
        <v>0</v>
      </c>
      <c r="G7" s="7"/>
      <c r="H7" s="26">
        <v>0</v>
      </c>
      <c r="I7" s="26">
        <v>0</v>
      </c>
    </row>
    <row r="8" spans="1:12" ht="24.95" customHeight="1" x14ac:dyDescent="0.25">
      <c r="A8" s="11" t="s">
        <v>497</v>
      </c>
      <c r="B8" s="8" t="s">
        <v>76</v>
      </c>
      <c r="C8" s="7">
        <v>0</v>
      </c>
      <c r="D8" s="8">
        <f>L20_EPICERIE_AB!D8/4</f>
        <v>62.5</v>
      </c>
      <c r="E8" s="8" t="s">
        <v>2</v>
      </c>
      <c r="F8" s="26">
        <f t="shared" si="0"/>
        <v>0</v>
      </c>
      <c r="G8" s="7"/>
      <c r="H8" s="26">
        <v>0</v>
      </c>
      <c r="I8" s="26">
        <v>0</v>
      </c>
    </row>
    <row r="9" spans="1:12" ht="24.95" customHeight="1" x14ac:dyDescent="0.25">
      <c r="A9" s="11" t="s">
        <v>498</v>
      </c>
      <c r="B9" s="8" t="s">
        <v>87</v>
      </c>
      <c r="C9" s="7">
        <v>0</v>
      </c>
      <c r="D9" s="8">
        <f>L20_EPICERIE_AB!D9/4</f>
        <v>12.5</v>
      </c>
      <c r="E9" s="8" t="s">
        <v>2</v>
      </c>
      <c r="F9" s="26">
        <f t="shared" si="0"/>
        <v>0</v>
      </c>
      <c r="G9" s="7"/>
      <c r="H9" s="26">
        <v>0</v>
      </c>
      <c r="I9" s="26">
        <v>0</v>
      </c>
    </row>
    <row r="10" spans="1:12" ht="24.95" customHeight="1" x14ac:dyDescent="0.25">
      <c r="A10" s="11" t="s">
        <v>499</v>
      </c>
      <c r="B10" s="8" t="s">
        <v>112</v>
      </c>
      <c r="C10" s="7">
        <v>0</v>
      </c>
      <c r="D10" s="8">
        <f>L20_EPICERIE_AB!D10/4</f>
        <v>3.75</v>
      </c>
      <c r="E10" s="8" t="s">
        <v>2</v>
      </c>
      <c r="F10" s="26">
        <f t="shared" si="0"/>
        <v>0</v>
      </c>
      <c r="G10" s="7"/>
      <c r="H10" s="26">
        <v>0</v>
      </c>
      <c r="I10" s="26">
        <v>0</v>
      </c>
    </row>
    <row r="11" spans="1:12" ht="24.95" customHeight="1" x14ac:dyDescent="0.25">
      <c r="A11" s="11" t="s">
        <v>500</v>
      </c>
      <c r="B11" s="8" t="s">
        <v>122</v>
      </c>
      <c r="C11" s="7">
        <v>0</v>
      </c>
      <c r="D11" s="8">
        <f>L20_EPICERIE_AB!D11/4</f>
        <v>12.5</v>
      </c>
      <c r="E11" s="8" t="s">
        <v>2</v>
      </c>
      <c r="F11" s="26">
        <f t="shared" si="0"/>
        <v>0</v>
      </c>
      <c r="G11" s="7"/>
      <c r="H11" s="26">
        <v>0</v>
      </c>
      <c r="I11" s="26">
        <v>0</v>
      </c>
    </row>
    <row r="12" spans="1:12" ht="24.95" customHeight="1" x14ac:dyDescent="0.25">
      <c r="A12" s="11" t="s">
        <v>501</v>
      </c>
      <c r="B12" s="8" t="s">
        <v>77</v>
      </c>
      <c r="C12" s="7">
        <v>0</v>
      </c>
      <c r="D12" s="8">
        <f>L20_EPICERIE_AB!D12/4</f>
        <v>37.5</v>
      </c>
      <c r="E12" s="8" t="s">
        <v>2</v>
      </c>
      <c r="F12" s="26">
        <f t="shared" si="0"/>
        <v>0</v>
      </c>
      <c r="G12" s="7"/>
      <c r="H12" s="26">
        <v>0</v>
      </c>
      <c r="I12" s="26">
        <v>0</v>
      </c>
    </row>
    <row r="13" spans="1:12" ht="24.95" customHeight="1" x14ac:dyDescent="0.25">
      <c r="A13" s="11" t="s">
        <v>502</v>
      </c>
      <c r="B13" s="8" t="s">
        <v>78</v>
      </c>
      <c r="C13" s="7">
        <v>0</v>
      </c>
      <c r="D13" s="8">
        <f>L20_EPICERIE_AB!D13/4</f>
        <v>37.5</v>
      </c>
      <c r="E13" s="8" t="s">
        <v>2</v>
      </c>
      <c r="F13" s="26">
        <f t="shared" si="0"/>
        <v>0</v>
      </c>
      <c r="G13" s="7"/>
      <c r="H13" s="26">
        <v>0</v>
      </c>
      <c r="I13" s="26">
        <v>0</v>
      </c>
    </row>
    <row r="14" spans="1:12" ht="24.95" customHeight="1" x14ac:dyDescent="0.25">
      <c r="A14" s="11" t="s">
        <v>503</v>
      </c>
      <c r="B14" s="8" t="s">
        <v>79</v>
      </c>
      <c r="C14" s="7">
        <v>0</v>
      </c>
      <c r="D14" s="8">
        <f>L20_EPICERIE_AB!D14/4</f>
        <v>50</v>
      </c>
      <c r="E14" s="8" t="s">
        <v>2</v>
      </c>
      <c r="F14" s="26">
        <f t="shared" si="0"/>
        <v>0</v>
      </c>
      <c r="G14" s="7"/>
      <c r="H14" s="26">
        <v>0</v>
      </c>
      <c r="I14" s="26">
        <v>0</v>
      </c>
    </row>
    <row r="15" spans="1:12" ht="24.95" customHeight="1" x14ac:dyDescent="0.25">
      <c r="A15" s="11" t="s">
        <v>504</v>
      </c>
      <c r="B15" s="8" t="s">
        <v>80</v>
      </c>
      <c r="C15" s="7">
        <v>0</v>
      </c>
      <c r="D15" s="8">
        <f>L20_EPICERIE_AB!D15/4</f>
        <v>7.5</v>
      </c>
      <c r="E15" s="8" t="s">
        <v>2</v>
      </c>
      <c r="F15" s="26">
        <f t="shared" si="0"/>
        <v>0</v>
      </c>
      <c r="G15" s="7"/>
      <c r="H15" s="26">
        <v>0</v>
      </c>
      <c r="I15" s="26">
        <v>0</v>
      </c>
    </row>
    <row r="16" spans="1:12" ht="24.95" customHeight="1" x14ac:dyDescent="0.25">
      <c r="A16" s="11" t="s">
        <v>505</v>
      </c>
      <c r="B16" s="8" t="s">
        <v>704</v>
      </c>
      <c r="C16" s="7">
        <v>0</v>
      </c>
      <c r="D16" s="8">
        <f>L20_EPICERIE_AB!D16/4</f>
        <v>7.5</v>
      </c>
      <c r="E16" s="8" t="s">
        <v>2</v>
      </c>
      <c r="F16" s="26">
        <f t="shared" si="0"/>
        <v>0</v>
      </c>
      <c r="G16" s="7"/>
      <c r="H16" s="26">
        <v>0</v>
      </c>
      <c r="I16" s="26">
        <v>0</v>
      </c>
    </row>
    <row r="17" spans="1:9" ht="24.95" customHeight="1" x14ac:dyDescent="0.25">
      <c r="A17" s="11" t="s">
        <v>506</v>
      </c>
      <c r="B17" s="8" t="s">
        <v>82</v>
      </c>
      <c r="C17" s="7">
        <v>0</v>
      </c>
      <c r="D17" s="8">
        <f>L20_EPICERIE_AB!D17/4</f>
        <v>5</v>
      </c>
      <c r="E17" s="8" t="s">
        <v>2</v>
      </c>
      <c r="F17" s="26">
        <f t="shared" si="0"/>
        <v>0</v>
      </c>
      <c r="G17" s="7"/>
      <c r="H17" s="26">
        <v>0</v>
      </c>
      <c r="I17" s="26">
        <v>0</v>
      </c>
    </row>
    <row r="18" spans="1:9" ht="24.95" customHeight="1" x14ac:dyDescent="0.25">
      <c r="A18" s="11" t="s">
        <v>507</v>
      </c>
      <c r="B18" s="8" t="s">
        <v>83</v>
      </c>
      <c r="C18" s="7">
        <v>0</v>
      </c>
      <c r="D18" s="8">
        <f>L20_EPICERIE_AB!D18/4</f>
        <v>15</v>
      </c>
      <c r="E18" s="8" t="s">
        <v>2</v>
      </c>
      <c r="F18" s="26">
        <f t="shared" si="0"/>
        <v>0</v>
      </c>
      <c r="G18" s="7"/>
      <c r="H18" s="26">
        <v>0</v>
      </c>
      <c r="I18" s="26">
        <v>0</v>
      </c>
    </row>
    <row r="19" spans="1:9" ht="24.95" customHeight="1" x14ac:dyDescent="0.25">
      <c r="A19" s="11" t="s">
        <v>508</v>
      </c>
      <c r="B19" s="8" t="s">
        <v>85</v>
      </c>
      <c r="C19" s="7">
        <v>0</v>
      </c>
      <c r="D19" s="8">
        <f>L20_EPICERIE_AB!D19/4</f>
        <v>15</v>
      </c>
      <c r="E19" s="8" t="s">
        <v>2</v>
      </c>
      <c r="F19" s="26">
        <f t="shared" si="0"/>
        <v>0</v>
      </c>
      <c r="G19" s="7"/>
      <c r="H19" s="26">
        <v>0</v>
      </c>
      <c r="I19" s="26">
        <v>0</v>
      </c>
    </row>
    <row r="20" spans="1:9" ht="24.95" customHeight="1" x14ac:dyDescent="0.25">
      <c r="A20" s="11" t="s">
        <v>509</v>
      </c>
      <c r="B20" s="8" t="s">
        <v>119</v>
      </c>
      <c r="C20" s="7">
        <v>0</v>
      </c>
      <c r="D20" s="8">
        <f>L20_EPICERIE_AB!D20/4</f>
        <v>7.5</v>
      </c>
      <c r="E20" s="8" t="s">
        <v>2</v>
      </c>
      <c r="F20" s="26">
        <f t="shared" si="0"/>
        <v>0</v>
      </c>
      <c r="G20" s="7"/>
      <c r="H20" s="26">
        <v>0</v>
      </c>
      <c r="I20" s="26">
        <v>0</v>
      </c>
    </row>
    <row r="21" spans="1:9" ht="24.95" customHeight="1" x14ac:dyDescent="0.25">
      <c r="A21" s="11" t="s">
        <v>510</v>
      </c>
      <c r="B21" s="8" t="s">
        <v>84</v>
      </c>
      <c r="C21" s="7">
        <v>0</v>
      </c>
      <c r="D21" s="8">
        <f>L20_EPICERIE_AB!D21/4</f>
        <v>10</v>
      </c>
      <c r="E21" s="8" t="s">
        <v>2</v>
      </c>
      <c r="F21" s="26">
        <f t="shared" si="0"/>
        <v>0</v>
      </c>
      <c r="G21" s="7"/>
      <c r="H21" s="26">
        <v>0</v>
      </c>
      <c r="I21" s="26">
        <v>0</v>
      </c>
    </row>
    <row r="22" spans="1:9" ht="24.95" customHeight="1" x14ac:dyDescent="0.25">
      <c r="A22" s="11" t="s">
        <v>511</v>
      </c>
      <c r="B22" s="8" t="s">
        <v>86</v>
      </c>
      <c r="C22" s="7">
        <v>0</v>
      </c>
      <c r="D22" s="8">
        <f>L20_EPICERIE_AB!D22/4</f>
        <v>15</v>
      </c>
      <c r="E22" s="8" t="s">
        <v>2</v>
      </c>
      <c r="F22" s="26">
        <f t="shared" si="0"/>
        <v>0</v>
      </c>
      <c r="G22" s="7"/>
      <c r="H22" s="26">
        <v>0</v>
      </c>
      <c r="I22" s="26">
        <v>0</v>
      </c>
    </row>
    <row r="23" spans="1:9" ht="24.95" customHeight="1" x14ac:dyDescent="0.25">
      <c r="A23" s="11" t="s">
        <v>512</v>
      </c>
      <c r="B23" s="8" t="s">
        <v>89</v>
      </c>
      <c r="C23" s="7">
        <v>0</v>
      </c>
      <c r="D23" s="8">
        <f>L20_EPICERIE_AB!D23/4</f>
        <v>37.5</v>
      </c>
      <c r="E23" s="8" t="s">
        <v>2</v>
      </c>
      <c r="F23" s="26">
        <f t="shared" si="0"/>
        <v>0</v>
      </c>
      <c r="G23" s="7"/>
      <c r="H23" s="26">
        <v>0</v>
      </c>
      <c r="I23" s="26">
        <v>0</v>
      </c>
    </row>
    <row r="24" spans="1:9" ht="24.95" customHeight="1" x14ac:dyDescent="0.25">
      <c r="A24" s="11" t="s">
        <v>513</v>
      </c>
      <c r="B24" s="8" t="s">
        <v>109</v>
      </c>
      <c r="C24" s="7">
        <v>0</v>
      </c>
      <c r="D24" s="8">
        <f>L20_EPICERIE_AB!D24/4</f>
        <v>10</v>
      </c>
      <c r="E24" s="8" t="s">
        <v>2</v>
      </c>
      <c r="F24" s="26">
        <f t="shared" si="0"/>
        <v>0</v>
      </c>
      <c r="G24" s="7"/>
      <c r="H24" s="26">
        <v>0</v>
      </c>
      <c r="I24" s="26">
        <v>0</v>
      </c>
    </row>
    <row r="25" spans="1:9" ht="24.95" customHeight="1" x14ac:dyDescent="0.25">
      <c r="A25" s="11" t="s">
        <v>514</v>
      </c>
      <c r="B25" s="8" t="s">
        <v>90</v>
      </c>
      <c r="C25" s="7">
        <v>0</v>
      </c>
      <c r="D25" s="8">
        <f>L20_EPICERIE_AB!D25/4</f>
        <v>12.5</v>
      </c>
      <c r="E25" s="8" t="s">
        <v>2</v>
      </c>
      <c r="F25" s="26">
        <f t="shared" si="0"/>
        <v>0</v>
      </c>
      <c r="G25" s="7"/>
      <c r="H25" s="26">
        <v>0</v>
      </c>
      <c r="I25" s="26">
        <v>0</v>
      </c>
    </row>
    <row r="26" spans="1:9" ht="24.95" customHeight="1" x14ac:dyDescent="0.25">
      <c r="A26" s="11" t="s">
        <v>515</v>
      </c>
      <c r="B26" s="8" t="s">
        <v>94</v>
      </c>
      <c r="C26" s="7">
        <v>0</v>
      </c>
      <c r="D26" s="8">
        <v>2</v>
      </c>
      <c r="E26" s="8" t="s">
        <v>137</v>
      </c>
      <c r="F26" s="26">
        <f t="shared" si="0"/>
        <v>0</v>
      </c>
      <c r="G26" s="7"/>
      <c r="H26" s="26">
        <v>0</v>
      </c>
      <c r="I26" s="26">
        <v>0</v>
      </c>
    </row>
    <row r="27" spans="1:9" ht="24.95" customHeight="1" x14ac:dyDescent="0.25">
      <c r="A27" s="11" t="s">
        <v>516</v>
      </c>
      <c r="B27" s="8" t="s">
        <v>98</v>
      </c>
      <c r="C27" s="7">
        <v>0</v>
      </c>
      <c r="D27" s="8">
        <v>2</v>
      </c>
      <c r="E27" s="8" t="s">
        <v>137</v>
      </c>
      <c r="F27" s="26">
        <f t="shared" si="0"/>
        <v>0</v>
      </c>
      <c r="G27" s="7"/>
      <c r="H27" s="26">
        <v>0</v>
      </c>
      <c r="I27" s="26">
        <v>0</v>
      </c>
    </row>
    <row r="28" spans="1:9" ht="24.95" customHeight="1" x14ac:dyDescent="0.25">
      <c r="A28" s="11" t="s">
        <v>517</v>
      </c>
      <c r="B28" s="8" t="s">
        <v>146</v>
      </c>
      <c r="C28" s="7">
        <v>0</v>
      </c>
      <c r="D28" s="8">
        <v>60</v>
      </c>
      <c r="E28" s="8" t="s">
        <v>137</v>
      </c>
      <c r="F28" s="26">
        <f t="shared" si="0"/>
        <v>0</v>
      </c>
      <c r="G28" s="7"/>
      <c r="H28" s="26">
        <v>0</v>
      </c>
      <c r="I28" s="26">
        <v>0</v>
      </c>
    </row>
    <row r="29" spans="1:9" ht="24.95" customHeight="1" x14ac:dyDescent="0.25">
      <c r="A29" s="11" t="s">
        <v>518</v>
      </c>
      <c r="B29" s="8" t="s">
        <v>96</v>
      </c>
      <c r="C29" s="7">
        <v>0</v>
      </c>
      <c r="D29" s="8">
        <v>40</v>
      </c>
      <c r="E29" s="8" t="s">
        <v>137</v>
      </c>
      <c r="F29" s="26">
        <f t="shared" si="0"/>
        <v>0</v>
      </c>
      <c r="G29" s="7"/>
      <c r="H29" s="26">
        <v>0</v>
      </c>
      <c r="I29" s="26">
        <v>0</v>
      </c>
    </row>
    <row r="30" spans="1:9" ht="24.95" customHeight="1" x14ac:dyDescent="0.25">
      <c r="A30" s="11" t="s">
        <v>519</v>
      </c>
      <c r="B30" s="8" t="s">
        <v>97</v>
      </c>
      <c r="C30" s="7">
        <v>0</v>
      </c>
      <c r="D30" s="8">
        <v>30</v>
      </c>
      <c r="E30" s="8" t="s">
        <v>137</v>
      </c>
      <c r="F30" s="26">
        <f t="shared" si="0"/>
        <v>0</v>
      </c>
      <c r="G30" s="7"/>
      <c r="H30" s="26">
        <v>0</v>
      </c>
      <c r="I30" s="26">
        <v>0</v>
      </c>
    </row>
    <row r="31" spans="1:9" ht="24.95" customHeight="1" x14ac:dyDescent="0.25">
      <c r="A31" s="11" t="s">
        <v>520</v>
      </c>
      <c r="B31" s="8" t="s">
        <v>88</v>
      </c>
      <c r="C31" s="7">
        <v>0</v>
      </c>
      <c r="D31" s="8">
        <v>400</v>
      </c>
      <c r="E31" s="8" t="s">
        <v>2</v>
      </c>
      <c r="F31" s="26">
        <f t="shared" si="0"/>
        <v>0</v>
      </c>
      <c r="G31" s="7"/>
      <c r="H31" s="26">
        <v>0</v>
      </c>
      <c r="I31" s="26">
        <v>0</v>
      </c>
    </row>
    <row r="32" spans="1:9" ht="24.95" customHeight="1" x14ac:dyDescent="0.25">
      <c r="A32" s="11" t="s">
        <v>521</v>
      </c>
      <c r="B32" s="8" t="s">
        <v>99</v>
      </c>
      <c r="C32" s="7">
        <v>0</v>
      </c>
      <c r="D32" s="8">
        <v>90</v>
      </c>
      <c r="E32" s="8" t="s">
        <v>2</v>
      </c>
      <c r="F32" s="26">
        <f t="shared" si="0"/>
        <v>0</v>
      </c>
      <c r="G32" s="7"/>
      <c r="H32" s="26">
        <v>0</v>
      </c>
      <c r="I32" s="26">
        <v>0</v>
      </c>
    </row>
    <row r="33" spans="1:9" ht="24.95" customHeight="1" x14ac:dyDescent="0.25">
      <c r="A33" s="11" t="s">
        <v>522</v>
      </c>
      <c r="B33" s="8" t="s">
        <v>100</v>
      </c>
      <c r="C33" s="7">
        <v>0</v>
      </c>
      <c r="D33" s="8">
        <v>2</v>
      </c>
      <c r="E33" s="8" t="s">
        <v>2</v>
      </c>
      <c r="F33" s="26">
        <f t="shared" si="0"/>
        <v>0</v>
      </c>
      <c r="G33" s="7"/>
      <c r="H33" s="26">
        <v>0</v>
      </c>
      <c r="I33" s="26">
        <v>0</v>
      </c>
    </row>
    <row r="34" spans="1:9" ht="24.95" customHeight="1" x14ac:dyDescent="0.25">
      <c r="A34" s="11" t="s">
        <v>523</v>
      </c>
      <c r="B34" s="8" t="s">
        <v>104</v>
      </c>
      <c r="C34" s="7">
        <v>0</v>
      </c>
      <c r="D34" s="8">
        <v>2</v>
      </c>
      <c r="E34" s="8" t="s">
        <v>2</v>
      </c>
      <c r="F34" s="26">
        <f t="shared" si="0"/>
        <v>0</v>
      </c>
      <c r="G34" s="7"/>
      <c r="H34" s="26">
        <v>0</v>
      </c>
      <c r="I34" s="26">
        <v>0</v>
      </c>
    </row>
    <row r="35" spans="1:9" ht="24.95" customHeight="1" x14ac:dyDescent="0.25">
      <c r="A35" s="11" t="s">
        <v>524</v>
      </c>
      <c r="B35" s="8" t="s">
        <v>101</v>
      </c>
      <c r="C35" s="7">
        <v>0</v>
      </c>
      <c r="D35" s="8">
        <v>2</v>
      </c>
      <c r="E35" s="8" t="s">
        <v>2</v>
      </c>
      <c r="F35" s="26">
        <f t="shared" si="0"/>
        <v>0</v>
      </c>
      <c r="G35" s="7"/>
      <c r="H35" s="26">
        <v>0</v>
      </c>
      <c r="I35" s="26">
        <v>0</v>
      </c>
    </row>
    <row r="36" spans="1:9" ht="24.95" customHeight="1" x14ac:dyDescent="0.25">
      <c r="A36" s="11" t="s">
        <v>525</v>
      </c>
      <c r="B36" s="8" t="s">
        <v>102</v>
      </c>
      <c r="C36" s="7">
        <v>0</v>
      </c>
      <c r="D36" s="8">
        <v>2</v>
      </c>
      <c r="E36" s="8" t="s">
        <v>2</v>
      </c>
      <c r="F36" s="26">
        <f t="shared" si="0"/>
        <v>0</v>
      </c>
      <c r="G36" s="7"/>
      <c r="H36" s="26">
        <v>0</v>
      </c>
      <c r="I36" s="26">
        <v>0</v>
      </c>
    </row>
    <row r="37" spans="1:9" ht="24.95" customHeight="1" x14ac:dyDescent="0.25">
      <c r="A37" s="11" t="s">
        <v>526</v>
      </c>
      <c r="B37" s="8" t="s">
        <v>113</v>
      </c>
      <c r="C37" s="7">
        <v>0</v>
      </c>
      <c r="D37" s="8">
        <v>2</v>
      </c>
      <c r="E37" s="8" t="s">
        <v>2</v>
      </c>
      <c r="F37" s="26">
        <f t="shared" si="0"/>
        <v>0</v>
      </c>
      <c r="G37" s="7"/>
      <c r="H37" s="26">
        <v>0</v>
      </c>
      <c r="I37" s="26">
        <v>0</v>
      </c>
    </row>
    <row r="38" spans="1:9" ht="24.95" customHeight="1" x14ac:dyDescent="0.25">
      <c r="A38" s="11" t="s">
        <v>527</v>
      </c>
      <c r="B38" s="8" t="s">
        <v>114</v>
      </c>
      <c r="C38" s="7">
        <v>0</v>
      </c>
      <c r="D38" s="8">
        <v>2</v>
      </c>
      <c r="E38" s="8" t="s">
        <v>2</v>
      </c>
      <c r="F38" s="26">
        <f t="shared" si="0"/>
        <v>0</v>
      </c>
      <c r="G38" s="7"/>
      <c r="H38" s="26">
        <v>0</v>
      </c>
      <c r="I38" s="26">
        <v>0</v>
      </c>
    </row>
    <row r="39" spans="1:9" ht="24.95" customHeight="1" x14ac:dyDescent="0.25">
      <c r="A39" s="11" t="s">
        <v>528</v>
      </c>
      <c r="B39" s="8" t="s">
        <v>115</v>
      </c>
      <c r="C39" s="7">
        <v>0</v>
      </c>
      <c r="D39" s="8">
        <v>2</v>
      </c>
      <c r="E39" s="8" t="s">
        <v>2</v>
      </c>
      <c r="F39" s="26">
        <f t="shared" ref="F39:F69" si="1">+C39*D39</f>
        <v>0</v>
      </c>
      <c r="G39" s="7"/>
      <c r="H39" s="26">
        <v>0</v>
      </c>
      <c r="I39" s="26">
        <v>0</v>
      </c>
    </row>
    <row r="40" spans="1:9" ht="24.95" customHeight="1" x14ac:dyDescent="0.25">
      <c r="A40" s="11" t="s">
        <v>529</v>
      </c>
      <c r="B40" s="8" t="s">
        <v>116</v>
      </c>
      <c r="C40" s="7">
        <v>0</v>
      </c>
      <c r="D40" s="8">
        <v>2</v>
      </c>
      <c r="E40" s="8" t="s">
        <v>2</v>
      </c>
      <c r="F40" s="26">
        <f t="shared" si="1"/>
        <v>0</v>
      </c>
      <c r="G40" s="7"/>
      <c r="H40" s="26">
        <v>0</v>
      </c>
      <c r="I40" s="26">
        <v>0</v>
      </c>
    </row>
    <row r="41" spans="1:9" ht="24.95" customHeight="1" x14ac:dyDescent="0.25">
      <c r="A41" s="11" t="s">
        <v>530</v>
      </c>
      <c r="B41" s="8" t="s">
        <v>103</v>
      </c>
      <c r="C41" s="7">
        <v>0</v>
      </c>
      <c r="D41" s="8">
        <v>2</v>
      </c>
      <c r="E41" s="8" t="s">
        <v>2</v>
      </c>
      <c r="F41" s="26">
        <f t="shared" si="1"/>
        <v>0</v>
      </c>
      <c r="G41" s="7"/>
      <c r="H41" s="26">
        <v>0</v>
      </c>
      <c r="I41" s="26">
        <v>0</v>
      </c>
    </row>
    <row r="42" spans="1:9" ht="24.95" customHeight="1" x14ac:dyDescent="0.25">
      <c r="A42" s="11" t="s">
        <v>531</v>
      </c>
      <c r="B42" s="8" t="s">
        <v>105</v>
      </c>
      <c r="C42" s="7">
        <v>0</v>
      </c>
      <c r="D42" s="8">
        <v>2</v>
      </c>
      <c r="E42" s="8" t="s">
        <v>2</v>
      </c>
      <c r="F42" s="26">
        <f t="shared" si="1"/>
        <v>0</v>
      </c>
      <c r="G42" s="7"/>
      <c r="H42" s="26">
        <v>0</v>
      </c>
      <c r="I42" s="26">
        <v>0</v>
      </c>
    </row>
    <row r="43" spans="1:9" ht="24.95" customHeight="1" x14ac:dyDescent="0.25">
      <c r="A43" s="11" t="s">
        <v>532</v>
      </c>
      <c r="B43" s="8" t="s">
        <v>111</v>
      </c>
      <c r="C43" s="7">
        <v>0</v>
      </c>
      <c r="D43" s="8">
        <v>2</v>
      </c>
      <c r="E43" s="8" t="s">
        <v>2</v>
      </c>
      <c r="F43" s="26">
        <f t="shared" si="1"/>
        <v>0</v>
      </c>
      <c r="G43" s="7"/>
      <c r="H43" s="26">
        <v>0</v>
      </c>
      <c r="I43" s="26">
        <v>0</v>
      </c>
    </row>
    <row r="44" spans="1:9" ht="24.95" customHeight="1" x14ac:dyDescent="0.25">
      <c r="A44" s="11" t="s">
        <v>533</v>
      </c>
      <c r="B44" s="8" t="s">
        <v>106</v>
      </c>
      <c r="C44" s="7">
        <v>0</v>
      </c>
      <c r="D44" s="8">
        <v>5</v>
      </c>
      <c r="E44" s="8" t="s">
        <v>2</v>
      </c>
      <c r="F44" s="26">
        <f t="shared" si="1"/>
        <v>0</v>
      </c>
      <c r="G44" s="7"/>
      <c r="H44" s="26">
        <v>0</v>
      </c>
      <c r="I44" s="26">
        <v>0</v>
      </c>
    </row>
    <row r="45" spans="1:9" ht="24.95" customHeight="1" x14ac:dyDescent="0.25">
      <c r="A45" s="11" t="s">
        <v>534</v>
      </c>
      <c r="B45" s="8" t="s">
        <v>107</v>
      </c>
      <c r="C45" s="7">
        <v>0</v>
      </c>
      <c r="D45" s="8">
        <v>50</v>
      </c>
      <c r="E45" s="8" t="s">
        <v>2</v>
      </c>
      <c r="F45" s="26">
        <f t="shared" si="1"/>
        <v>0</v>
      </c>
      <c r="G45" s="7"/>
      <c r="H45" s="26">
        <v>0</v>
      </c>
      <c r="I45" s="26">
        <v>0</v>
      </c>
    </row>
    <row r="46" spans="1:9" ht="24.95" customHeight="1" x14ac:dyDescent="0.25">
      <c r="A46" s="11" t="s">
        <v>535</v>
      </c>
      <c r="B46" s="8" t="s">
        <v>138</v>
      </c>
      <c r="C46" s="7">
        <v>0</v>
      </c>
      <c r="D46" s="8">
        <v>30</v>
      </c>
      <c r="E46" s="8" t="s">
        <v>2</v>
      </c>
      <c r="F46" s="26">
        <f t="shared" si="1"/>
        <v>0</v>
      </c>
      <c r="G46" s="7"/>
      <c r="H46" s="26">
        <v>0</v>
      </c>
      <c r="I46" s="26">
        <v>0</v>
      </c>
    </row>
    <row r="47" spans="1:9" ht="24.95" customHeight="1" x14ac:dyDescent="0.25">
      <c r="A47" s="11" t="s">
        <v>536</v>
      </c>
      <c r="B47" s="8" t="s">
        <v>110</v>
      </c>
      <c r="C47" s="7">
        <v>0</v>
      </c>
      <c r="D47" s="8">
        <v>20</v>
      </c>
      <c r="E47" s="8" t="s">
        <v>2</v>
      </c>
      <c r="F47" s="26">
        <f t="shared" si="1"/>
        <v>0</v>
      </c>
      <c r="G47" s="7"/>
      <c r="H47" s="26">
        <v>0</v>
      </c>
      <c r="I47" s="26">
        <v>0</v>
      </c>
    </row>
    <row r="48" spans="1:9" ht="24.95" customHeight="1" x14ac:dyDescent="0.25">
      <c r="A48" s="11" t="s">
        <v>537</v>
      </c>
      <c r="B48" s="8" t="s">
        <v>117</v>
      </c>
      <c r="C48" s="7">
        <v>0</v>
      </c>
      <c r="D48" s="8">
        <v>10</v>
      </c>
      <c r="E48" s="8" t="s">
        <v>2</v>
      </c>
      <c r="F48" s="26">
        <f t="shared" si="1"/>
        <v>0</v>
      </c>
      <c r="G48" s="7"/>
      <c r="H48" s="26">
        <v>0</v>
      </c>
      <c r="I48" s="26">
        <v>0</v>
      </c>
    </row>
    <row r="49" spans="1:9" ht="24.95" customHeight="1" x14ac:dyDescent="0.25">
      <c r="A49" s="11" t="s">
        <v>538</v>
      </c>
      <c r="B49" s="8" t="s">
        <v>118</v>
      </c>
      <c r="C49" s="7">
        <v>0</v>
      </c>
      <c r="D49" s="8">
        <v>10</v>
      </c>
      <c r="E49" s="8" t="s">
        <v>2</v>
      </c>
      <c r="F49" s="26">
        <f t="shared" si="1"/>
        <v>0</v>
      </c>
      <c r="G49" s="7"/>
      <c r="H49" s="26">
        <v>0</v>
      </c>
      <c r="I49" s="26">
        <v>0</v>
      </c>
    </row>
    <row r="50" spans="1:9" ht="24.95" customHeight="1" x14ac:dyDescent="0.25">
      <c r="A50" s="11" t="s">
        <v>539</v>
      </c>
      <c r="B50" s="8" t="s">
        <v>120</v>
      </c>
      <c r="C50" s="7">
        <v>0</v>
      </c>
      <c r="D50" s="8">
        <v>25</v>
      </c>
      <c r="E50" s="8" t="s">
        <v>2</v>
      </c>
      <c r="F50" s="26">
        <f t="shared" si="1"/>
        <v>0</v>
      </c>
      <c r="G50" s="7"/>
      <c r="H50" s="26">
        <v>0</v>
      </c>
      <c r="I50" s="26">
        <v>0</v>
      </c>
    </row>
    <row r="51" spans="1:9" ht="24.95" customHeight="1" x14ac:dyDescent="0.25">
      <c r="A51" s="11" t="s">
        <v>540</v>
      </c>
      <c r="B51" s="8" t="s">
        <v>121</v>
      </c>
      <c r="C51" s="7">
        <v>0</v>
      </c>
      <c r="D51" s="8">
        <v>15</v>
      </c>
      <c r="E51" s="8" t="s">
        <v>2</v>
      </c>
      <c r="F51" s="26">
        <f t="shared" si="1"/>
        <v>0</v>
      </c>
      <c r="G51" s="7"/>
      <c r="H51" s="26">
        <v>0</v>
      </c>
      <c r="I51" s="26">
        <v>0</v>
      </c>
    </row>
    <row r="52" spans="1:9" ht="24.95" customHeight="1" x14ac:dyDescent="0.25">
      <c r="A52" s="11" t="s">
        <v>541</v>
      </c>
      <c r="B52" s="8" t="s">
        <v>125</v>
      </c>
      <c r="C52" s="7">
        <v>0</v>
      </c>
      <c r="D52" s="8">
        <f>+L20_EPICERIE_AB!D34/4</f>
        <v>10</v>
      </c>
      <c r="E52" s="8" t="s">
        <v>2</v>
      </c>
      <c r="F52" s="26">
        <f t="shared" si="1"/>
        <v>0</v>
      </c>
      <c r="G52" s="7"/>
      <c r="H52" s="26">
        <v>0</v>
      </c>
      <c r="I52" s="26">
        <v>0</v>
      </c>
    </row>
    <row r="53" spans="1:9" ht="24.95" customHeight="1" x14ac:dyDescent="0.25">
      <c r="A53" s="11" t="s">
        <v>542</v>
      </c>
      <c r="B53" s="8" t="s">
        <v>124</v>
      </c>
      <c r="C53" s="7">
        <v>0</v>
      </c>
      <c r="D53" s="8">
        <f>+L20_EPICERIE_AB!D35/4</f>
        <v>10</v>
      </c>
      <c r="E53" s="8" t="s">
        <v>2</v>
      </c>
      <c r="F53" s="26">
        <f t="shared" si="1"/>
        <v>0</v>
      </c>
      <c r="G53" s="7"/>
      <c r="H53" s="26">
        <v>0</v>
      </c>
      <c r="I53" s="26">
        <v>0</v>
      </c>
    </row>
    <row r="54" spans="1:9" ht="24.95" customHeight="1" x14ac:dyDescent="0.25">
      <c r="A54" s="11" t="s">
        <v>543</v>
      </c>
      <c r="B54" s="8" t="s">
        <v>126</v>
      </c>
      <c r="C54" s="7">
        <v>0</v>
      </c>
      <c r="D54" s="8">
        <f>+L20_EPICERIE_AB!D36/4</f>
        <v>10</v>
      </c>
      <c r="E54" s="8" t="s">
        <v>2</v>
      </c>
      <c r="F54" s="26">
        <f t="shared" si="1"/>
        <v>0</v>
      </c>
      <c r="G54" s="7"/>
      <c r="H54" s="26">
        <v>0</v>
      </c>
      <c r="I54" s="26">
        <v>0</v>
      </c>
    </row>
    <row r="55" spans="1:9" ht="24.95" customHeight="1" x14ac:dyDescent="0.25">
      <c r="A55" s="11" t="s">
        <v>544</v>
      </c>
      <c r="B55" s="8" t="s">
        <v>255</v>
      </c>
      <c r="C55" s="7">
        <v>0</v>
      </c>
      <c r="D55" s="8">
        <v>5</v>
      </c>
      <c r="E55" s="8" t="s">
        <v>2</v>
      </c>
      <c r="F55" s="26">
        <f t="shared" si="1"/>
        <v>0</v>
      </c>
      <c r="G55" s="7"/>
      <c r="H55" s="26">
        <v>0</v>
      </c>
      <c r="I55" s="26">
        <v>0</v>
      </c>
    </row>
    <row r="56" spans="1:9" ht="24.95" customHeight="1" x14ac:dyDescent="0.25">
      <c r="A56" s="11" t="s">
        <v>545</v>
      </c>
      <c r="B56" s="8" t="s">
        <v>254</v>
      </c>
      <c r="C56" s="7">
        <v>0</v>
      </c>
      <c r="D56" s="8">
        <v>5</v>
      </c>
      <c r="E56" s="8" t="s">
        <v>2</v>
      </c>
      <c r="F56" s="26">
        <f t="shared" si="1"/>
        <v>0</v>
      </c>
      <c r="G56" s="7"/>
      <c r="H56" s="26">
        <v>0</v>
      </c>
      <c r="I56" s="26">
        <v>0</v>
      </c>
    </row>
    <row r="57" spans="1:9" ht="24.95" customHeight="1" x14ac:dyDescent="0.25">
      <c r="A57" s="11" t="s">
        <v>546</v>
      </c>
      <c r="B57" s="8" t="s">
        <v>253</v>
      </c>
      <c r="C57" s="7">
        <v>0</v>
      </c>
      <c r="D57" s="8">
        <v>5</v>
      </c>
      <c r="E57" s="8" t="s">
        <v>2</v>
      </c>
      <c r="F57" s="26">
        <f t="shared" si="1"/>
        <v>0</v>
      </c>
      <c r="G57" s="7"/>
      <c r="H57" s="26">
        <v>0</v>
      </c>
      <c r="I57" s="26">
        <v>0</v>
      </c>
    </row>
    <row r="58" spans="1:9" ht="24.95" customHeight="1" x14ac:dyDescent="0.25">
      <c r="A58" s="11" t="s">
        <v>547</v>
      </c>
      <c r="B58" s="8" t="s">
        <v>127</v>
      </c>
      <c r="C58" s="7">
        <v>0</v>
      </c>
      <c r="D58" s="8">
        <f>+L20_EPICERIE_AB!D37/4</f>
        <v>10</v>
      </c>
      <c r="E58" s="8" t="s">
        <v>2</v>
      </c>
      <c r="F58" s="26">
        <f t="shared" si="1"/>
        <v>0</v>
      </c>
      <c r="G58" s="7"/>
      <c r="H58" s="26">
        <v>0</v>
      </c>
      <c r="I58" s="26">
        <v>0</v>
      </c>
    </row>
    <row r="59" spans="1:9" ht="24.95" customHeight="1" x14ac:dyDescent="0.25">
      <c r="A59" s="11" t="s">
        <v>548</v>
      </c>
      <c r="B59" s="8" t="s">
        <v>128</v>
      </c>
      <c r="C59" s="7">
        <v>0</v>
      </c>
      <c r="D59" s="8">
        <f>+L20_EPICERIE_AB!D58/4</f>
        <v>12.5</v>
      </c>
      <c r="E59" s="8" t="s">
        <v>2</v>
      </c>
      <c r="F59" s="26">
        <f t="shared" si="1"/>
        <v>0</v>
      </c>
      <c r="G59" s="7"/>
      <c r="H59" s="26">
        <v>0</v>
      </c>
      <c r="I59" s="26">
        <v>0</v>
      </c>
    </row>
    <row r="60" spans="1:9" ht="24.95" customHeight="1" x14ac:dyDescent="0.25">
      <c r="A60" s="11" t="s">
        <v>549</v>
      </c>
      <c r="B60" s="8" t="s">
        <v>129</v>
      </c>
      <c r="C60" s="7">
        <v>0</v>
      </c>
      <c r="D60" s="8">
        <f>+D59</f>
        <v>12.5</v>
      </c>
      <c r="E60" s="8" t="s">
        <v>2</v>
      </c>
      <c r="F60" s="26">
        <f t="shared" si="1"/>
        <v>0</v>
      </c>
      <c r="G60" s="7"/>
      <c r="H60" s="26">
        <v>0</v>
      </c>
      <c r="I60" s="26">
        <v>0</v>
      </c>
    </row>
    <row r="61" spans="1:9" ht="24.95" customHeight="1" x14ac:dyDescent="0.25">
      <c r="A61" s="11" t="s">
        <v>550</v>
      </c>
      <c r="B61" s="8" t="s">
        <v>130</v>
      </c>
      <c r="C61" s="7">
        <v>0</v>
      </c>
      <c r="D61" s="8">
        <v>3</v>
      </c>
      <c r="E61" s="8" t="s">
        <v>2</v>
      </c>
      <c r="F61" s="26">
        <f t="shared" si="1"/>
        <v>0</v>
      </c>
      <c r="G61" s="7"/>
      <c r="H61" s="26">
        <v>0</v>
      </c>
      <c r="I61" s="26">
        <v>0</v>
      </c>
    </row>
    <row r="62" spans="1:9" ht="24.95" customHeight="1" x14ac:dyDescent="0.25">
      <c r="A62" s="11" t="s">
        <v>551</v>
      </c>
      <c r="B62" s="8" t="s">
        <v>131</v>
      </c>
      <c r="C62" s="7">
        <v>0</v>
      </c>
      <c r="D62" s="8">
        <v>3</v>
      </c>
      <c r="E62" s="8" t="s">
        <v>2</v>
      </c>
      <c r="F62" s="26">
        <f t="shared" si="1"/>
        <v>0</v>
      </c>
      <c r="G62" s="7"/>
      <c r="H62" s="26">
        <v>0</v>
      </c>
      <c r="I62" s="26">
        <v>0</v>
      </c>
    </row>
    <row r="63" spans="1:9" ht="24.95" customHeight="1" x14ac:dyDescent="0.25">
      <c r="A63" s="11" t="s">
        <v>552</v>
      </c>
      <c r="B63" s="8" t="s">
        <v>135</v>
      </c>
      <c r="C63" s="7">
        <v>0</v>
      </c>
      <c r="D63" s="8">
        <v>5</v>
      </c>
      <c r="E63" s="8" t="s">
        <v>2</v>
      </c>
      <c r="F63" s="26">
        <f t="shared" si="1"/>
        <v>0</v>
      </c>
      <c r="G63" s="7"/>
      <c r="H63" s="26">
        <v>0</v>
      </c>
      <c r="I63" s="26">
        <v>0</v>
      </c>
    </row>
    <row r="64" spans="1:9" ht="24.95" customHeight="1" x14ac:dyDescent="0.25">
      <c r="A64" s="11" t="s">
        <v>553</v>
      </c>
      <c r="B64" s="8" t="s">
        <v>697</v>
      </c>
      <c r="C64" s="7">
        <v>0</v>
      </c>
      <c r="D64" s="8">
        <v>5</v>
      </c>
      <c r="E64" s="8" t="s">
        <v>2</v>
      </c>
      <c r="F64" s="26">
        <f t="shared" si="1"/>
        <v>0</v>
      </c>
      <c r="G64" s="7"/>
      <c r="H64" s="26">
        <v>0</v>
      </c>
      <c r="I64" s="26">
        <v>0</v>
      </c>
    </row>
    <row r="65" spans="1:9" ht="24.95" customHeight="1" x14ac:dyDescent="0.25">
      <c r="A65" s="11" t="s">
        <v>554</v>
      </c>
      <c r="B65" s="8" t="s">
        <v>696</v>
      </c>
      <c r="C65" s="7">
        <v>0</v>
      </c>
      <c r="D65" s="8">
        <v>5</v>
      </c>
      <c r="E65" s="8" t="s">
        <v>2</v>
      </c>
      <c r="F65" s="26">
        <f t="shared" si="1"/>
        <v>0</v>
      </c>
      <c r="G65" s="7"/>
      <c r="H65" s="26">
        <v>0</v>
      </c>
      <c r="I65" s="26">
        <v>0</v>
      </c>
    </row>
    <row r="66" spans="1:9" ht="24.95" customHeight="1" x14ac:dyDescent="0.25">
      <c r="A66" s="11" t="s">
        <v>555</v>
      </c>
      <c r="B66" s="8" t="s">
        <v>693</v>
      </c>
      <c r="C66" s="7">
        <v>0</v>
      </c>
      <c r="D66" s="8">
        <v>5</v>
      </c>
      <c r="E66" s="8" t="s">
        <v>2</v>
      </c>
      <c r="F66" s="26">
        <f t="shared" si="1"/>
        <v>0</v>
      </c>
      <c r="G66" s="7"/>
      <c r="H66" s="26">
        <v>0</v>
      </c>
      <c r="I66" s="26">
        <v>0</v>
      </c>
    </row>
    <row r="67" spans="1:9" ht="24.95" customHeight="1" x14ac:dyDescent="0.25">
      <c r="A67" s="11" t="s">
        <v>556</v>
      </c>
      <c r="B67" s="8" t="s">
        <v>695</v>
      </c>
      <c r="C67" s="7">
        <v>0</v>
      </c>
      <c r="D67" s="8">
        <v>10</v>
      </c>
      <c r="E67" s="8" t="s">
        <v>2</v>
      </c>
      <c r="F67" s="26">
        <f t="shared" si="1"/>
        <v>0</v>
      </c>
      <c r="G67" s="7"/>
      <c r="H67" s="26">
        <v>0</v>
      </c>
      <c r="I67" s="26">
        <v>0</v>
      </c>
    </row>
    <row r="68" spans="1:9" ht="30" x14ac:dyDescent="0.25">
      <c r="A68" s="11" t="s">
        <v>557</v>
      </c>
      <c r="B68" s="35" t="s">
        <v>689</v>
      </c>
      <c r="C68" s="7">
        <v>0</v>
      </c>
      <c r="D68" s="8">
        <v>30</v>
      </c>
      <c r="E68" s="8" t="s">
        <v>2</v>
      </c>
      <c r="F68" s="26">
        <f t="shared" si="1"/>
        <v>0</v>
      </c>
      <c r="G68" s="7"/>
      <c r="H68" s="26">
        <v>0</v>
      </c>
      <c r="I68" s="26">
        <v>0</v>
      </c>
    </row>
    <row r="69" spans="1:9" ht="24.95" customHeight="1" x14ac:dyDescent="0.25">
      <c r="A69" s="11" t="s">
        <v>558</v>
      </c>
      <c r="B69" s="8" t="s">
        <v>694</v>
      </c>
      <c r="C69" s="7">
        <v>0</v>
      </c>
      <c r="D69" s="8">
        <v>15</v>
      </c>
      <c r="E69" s="8" t="s">
        <v>2</v>
      </c>
      <c r="F69" s="26">
        <f t="shared" si="1"/>
        <v>0</v>
      </c>
      <c r="G69" s="7"/>
      <c r="H69" s="26">
        <v>0</v>
      </c>
      <c r="I69" s="26">
        <v>0</v>
      </c>
    </row>
    <row r="70" spans="1:9" ht="24.95" customHeight="1" x14ac:dyDescent="0.25">
      <c r="A70" s="11" t="s">
        <v>559</v>
      </c>
      <c r="B70" s="8" t="s">
        <v>690</v>
      </c>
      <c r="C70" s="7">
        <v>0</v>
      </c>
      <c r="D70" s="8">
        <v>100</v>
      </c>
      <c r="E70" s="8" t="s">
        <v>2</v>
      </c>
      <c r="F70" s="26">
        <f t="shared" ref="F70:F75" si="2">+C70*D70</f>
        <v>0</v>
      </c>
      <c r="G70" s="7"/>
      <c r="H70" s="26">
        <v>0</v>
      </c>
      <c r="I70" s="26">
        <v>0</v>
      </c>
    </row>
    <row r="71" spans="1:9" ht="24.95" customHeight="1" x14ac:dyDescent="0.25">
      <c r="A71" s="11" t="s">
        <v>560</v>
      </c>
      <c r="B71" s="8" t="s">
        <v>698</v>
      </c>
      <c r="C71" s="7">
        <v>0</v>
      </c>
      <c r="D71" s="8">
        <v>25</v>
      </c>
      <c r="E71" s="8" t="s">
        <v>2</v>
      </c>
      <c r="F71" s="26">
        <f t="shared" si="2"/>
        <v>0</v>
      </c>
      <c r="G71" s="7"/>
      <c r="H71" s="26">
        <v>0</v>
      </c>
      <c r="I71" s="26">
        <v>0</v>
      </c>
    </row>
    <row r="72" spans="1:9" ht="24.95" customHeight="1" x14ac:dyDescent="0.25">
      <c r="A72" s="11" t="s">
        <v>561</v>
      </c>
      <c r="B72" s="8" t="s">
        <v>132</v>
      </c>
      <c r="C72" s="7">
        <v>0</v>
      </c>
      <c r="D72" s="8">
        <v>10</v>
      </c>
      <c r="E72" s="8" t="s">
        <v>2</v>
      </c>
      <c r="F72" s="26">
        <f t="shared" si="2"/>
        <v>0</v>
      </c>
      <c r="G72" s="7"/>
      <c r="H72" s="26">
        <v>0</v>
      </c>
      <c r="I72" s="26">
        <v>0</v>
      </c>
    </row>
    <row r="73" spans="1:9" ht="24.95" customHeight="1" x14ac:dyDescent="0.25">
      <c r="A73" s="11" t="s">
        <v>562</v>
      </c>
      <c r="B73" s="8" t="s">
        <v>133</v>
      </c>
      <c r="C73" s="7">
        <v>0</v>
      </c>
      <c r="D73" s="8">
        <v>12</v>
      </c>
      <c r="E73" s="8" t="s">
        <v>2</v>
      </c>
      <c r="F73" s="26">
        <f t="shared" si="2"/>
        <v>0</v>
      </c>
      <c r="G73" s="7"/>
      <c r="H73" s="26">
        <v>0</v>
      </c>
      <c r="I73" s="26">
        <v>0</v>
      </c>
    </row>
    <row r="74" spans="1:9" ht="24.95" customHeight="1" x14ac:dyDescent="0.25">
      <c r="A74" s="11" t="s">
        <v>563</v>
      </c>
      <c r="B74" s="8" t="s">
        <v>273</v>
      </c>
      <c r="C74" s="7">
        <v>0</v>
      </c>
      <c r="D74" s="8">
        <v>25</v>
      </c>
      <c r="E74" s="8" t="s">
        <v>2</v>
      </c>
      <c r="F74" s="26">
        <f t="shared" si="2"/>
        <v>0</v>
      </c>
      <c r="G74" s="7"/>
      <c r="H74" s="26">
        <v>0</v>
      </c>
      <c r="I74" s="26">
        <v>0</v>
      </c>
    </row>
    <row r="75" spans="1:9" ht="24.95" customHeight="1" x14ac:dyDescent="0.25">
      <c r="A75" s="11" t="s">
        <v>564</v>
      </c>
      <c r="B75" s="8" t="s">
        <v>134</v>
      </c>
      <c r="C75" s="7">
        <v>0</v>
      </c>
      <c r="D75" s="8">
        <v>15</v>
      </c>
      <c r="E75" s="8" t="s">
        <v>2</v>
      </c>
      <c r="F75" s="26">
        <f t="shared" si="2"/>
        <v>0</v>
      </c>
      <c r="G75" s="7"/>
      <c r="H75" s="26">
        <v>0</v>
      </c>
      <c r="I75" s="26">
        <v>0</v>
      </c>
    </row>
    <row r="76" spans="1:9" x14ac:dyDescent="0.25">
      <c r="B76" s="51" t="s">
        <v>256</v>
      </c>
      <c r="C76" s="51"/>
      <c r="D76" s="51"/>
      <c r="E76" s="51"/>
      <c r="F76" s="9">
        <f>+SUM(F7:F75)</f>
        <v>0</v>
      </c>
    </row>
    <row r="77" spans="1:9" x14ac:dyDescent="0.25">
      <c r="B77" s="51" t="s">
        <v>258</v>
      </c>
      <c r="C77" s="51"/>
      <c r="D77" s="51"/>
      <c r="E77" s="51"/>
      <c r="F77" s="9">
        <f>+F76*0.055</f>
        <v>0</v>
      </c>
    </row>
    <row r="78" spans="1:9" x14ac:dyDescent="0.25">
      <c r="B78" s="51" t="s">
        <v>257</v>
      </c>
      <c r="C78" s="51"/>
      <c r="D78" s="51"/>
      <c r="E78" s="51"/>
      <c r="F78" s="9">
        <f>+F76+F77</f>
        <v>0</v>
      </c>
    </row>
    <row r="80" spans="1:9" x14ac:dyDescent="0.25">
      <c r="B80" s="18" t="s">
        <v>266</v>
      </c>
      <c r="C80" s="19" t="s">
        <v>261</v>
      </c>
      <c r="D80" s="19" t="s">
        <v>262</v>
      </c>
      <c r="E80" s="19" t="s">
        <v>263</v>
      </c>
      <c r="F80" s="19" t="s">
        <v>264</v>
      </c>
      <c r="G80" s="20" t="s">
        <v>265</v>
      </c>
    </row>
    <row r="81" spans="2:7" x14ac:dyDescent="0.25">
      <c r="B81" s="18" t="s">
        <v>260</v>
      </c>
      <c r="C81" s="20" t="s">
        <v>261</v>
      </c>
      <c r="D81" s="20" t="s">
        <v>262</v>
      </c>
      <c r="E81" s="20" t="s">
        <v>263</v>
      </c>
      <c r="F81" s="20" t="s">
        <v>264</v>
      </c>
      <c r="G81" s="20" t="s">
        <v>265</v>
      </c>
    </row>
  </sheetData>
  <mergeCells count="5">
    <mergeCell ref="B76:E76"/>
    <mergeCell ref="B77:E77"/>
    <mergeCell ref="B78:E78"/>
    <mergeCell ref="A2:F2"/>
    <mergeCell ref="A4:F4"/>
  </mergeCells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6C7B-AAAB-4018-AF09-A2BEBA5DF941}">
  <dimension ref="A1:M75"/>
  <sheetViews>
    <sheetView topLeftCell="A50" zoomScaleNormal="100" workbookViewId="0">
      <selection activeCell="M76" sqref="M76"/>
    </sheetView>
  </sheetViews>
  <sheetFormatPr baseColWidth="10" defaultColWidth="11.42578125" defaultRowHeight="15" x14ac:dyDescent="0.25"/>
  <cols>
    <col min="1" max="1" width="6.85546875" style="1" customWidth="1"/>
    <col min="2" max="2" width="39.140625" style="1" bestFit="1" customWidth="1"/>
    <col min="3" max="3" width="15.7109375" style="1" customWidth="1"/>
    <col min="4" max="4" width="21.42578125" style="1" customWidth="1"/>
    <col min="5" max="5" width="11.42578125" style="1"/>
    <col min="6" max="6" width="20.5703125" style="1" customWidth="1"/>
    <col min="7" max="7" width="24.85546875" style="1" customWidth="1"/>
    <col min="8" max="8" width="20.28515625" style="1" customWidth="1"/>
    <col min="9" max="9" width="20.5703125" style="1" customWidth="1"/>
    <col min="10" max="16384" width="11.42578125" style="1"/>
  </cols>
  <sheetData>
    <row r="1" spans="1:13" ht="6.75" customHeight="1" thickBot="1" x14ac:dyDescent="0.3">
      <c r="H1" s="2"/>
      <c r="I1" s="2"/>
      <c r="J1" s="2"/>
      <c r="K1" s="2"/>
      <c r="L1" s="2"/>
      <c r="M1" s="2"/>
    </row>
    <row r="2" spans="1:13" ht="15.75" thickBot="1" x14ac:dyDescent="0.3">
      <c r="A2" s="52" t="s">
        <v>642</v>
      </c>
      <c r="B2" s="53"/>
      <c r="C2" s="53"/>
      <c r="D2" s="53"/>
      <c r="E2" s="53"/>
      <c r="F2" s="54"/>
      <c r="H2" s="2"/>
      <c r="I2" s="2"/>
      <c r="J2" s="2"/>
      <c r="K2" s="2"/>
      <c r="L2" s="2"/>
      <c r="M2" s="2"/>
    </row>
    <row r="3" spans="1:13" ht="7.5" customHeight="1" thickBot="1" x14ac:dyDescent="0.3">
      <c r="H3" s="2"/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H4" s="2"/>
      <c r="I4" s="2"/>
      <c r="J4" s="2"/>
      <c r="K4" s="2"/>
      <c r="L4" s="2"/>
      <c r="M4" s="2"/>
    </row>
    <row r="5" spans="1:13" ht="6" customHeight="1" x14ac:dyDescent="0.25">
      <c r="H5" s="2"/>
      <c r="I5" s="2"/>
      <c r="J5" s="2"/>
      <c r="K5" s="2"/>
      <c r="L5" s="2"/>
      <c r="M5" s="2"/>
    </row>
    <row r="6" spans="1:13" ht="45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  <c r="G6" s="3" t="s">
        <v>701</v>
      </c>
      <c r="H6" s="3" t="s">
        <v>702</v>
      </c>
      <c r="I6" s="3" t="s">
        <v>703</v>
      </c>
    </row>
    <row r="7" spans="1:13" ht="24.95" customHeight="1" x14ac:dyDescent="0.25">
      <c r="A7" s="11" t="s">
        <v>440</v>
      </c>
      <c r="B7" s="8" t="s">
        <v>75</v>
      </c>
      <c r="C7" s="7">
        <v>0</v>
      </c>
      <c r="D7" s="8">
        <v>250</v>
      </c>
      <c r="E7" s="8" t="s">
        <v>2</v>
      </c>
      <c r="F7" s="26">
        <f>+C7*D7</f>
        <v>0</v>
      </c>
      <c r="G7" s="7"/>
      <c r="H7" s="26">
        <v>0</v>
      </c>
      <c r="I7" s="26">
        <v>0</v>
      </c>
    </row>
    <row r="8" spans="1:13" ht="24.95" customHeight="1" x14ac:dyDescent="0.25">
      <c r="A8" s="11" t="s">
        <v>441</v>
      </c>
      <c r="B8" s="8" t="s">
        <v>76</v>
      </c>
      <c r="C8" s="7">
        <v>0</v>
      </c>
      <c r="D8" s="8">
        <v>250</v>
      </c>
      <c r="E8" s="8" t="s">
        <v>2</v>
      </c>
      <c r="F8" s="26">
        <f t="shared" ref="F8:F61" si="0">+C8*D8</f>
        <v>0</v>
      </c>
      <c r="G8" s="7"/>
      <c r="H8" s="26">
        <v>0</v>
      </c>
      <c r="I8" s="26">
        <v>0</v>
      </c>
    </row>
    <row r="9" spans="1:13" ht="24.95" customHeight="1" x14ac:dyDescent="0.25">
      <c r="A9" s="11" t="s">
        <v>442</v>
      </c>
      <c r="B9" s="8" t="s">
        <v>87</v>
      </c>
      <c r="C9" s="7">
        <v>0</v>
      </c>
      <c r="D9" s="8">
        <v>50</v>
      </c>
      <c r="E9" s="8" t="s">
        <v>2</v>
      </c>
      <c r="F9" s="26">
        <f t="shared" si="0"/>
        <v>0</v>
      </c>
      <c r="G9" s="7"/>
      <c r="H9" s="26">
        <v>0</v>
      </c>
      <c r="I9" s="26">
        <v>0</v>
      </c>
    </row>
    <row r="10" spans="1:13" ht="24.95" customHeight="1" x14ac:dyDescent="0.25">
      <c r="A10" s="11" t="s">
        <v>443</v>
      </c>
      <c r="B10" s="8" t="s">
        <v>112</v>
      </c>
      <c r="C10" s="7">
        <v>0</v>
      </c>
      <c r="D10" s="8">
        <v>15</v>
      </c>
      <c r="E10" s="8" t="s">
        <v>2</v>
      </c>
      <c r="F10" s="26">
        <f t="shared" si="0"/>
        <v>0</v>
      </c>
      <c r="G10" s="7"/>
      <c r="H10" s="26">
        <v>0</v>
      </c>
      <c r="I10" s="26">
        <v>0</v>
      </c>
    </row>
    <row r="11" spans="1:13" ht="24.95" customHeight="1" x14ac:dyDescent="0.25">
      <c r="A11" s="11" t="s">
        <v>444</v>
      </c>
      <c r="B11" s="8" t="s">
        <v>122</v>
      </c>
      <c r="C11" s="7">
        <v>0</v>
      </c>
      <c r="D11" s="8">
        <v>50</v>
      </c>
      <c r="E11" s="8" t="s">
        <v>2</v>
      </c>
      <c r="F11" s="26">
        <f t="shared" si="0"/>
        <v>0</v>
      </c>
      <c r="G11" s="7"/>
      <c r="H11" s="26">
        <v>0</v>
      </c>
      <c r="I11" s="26">
        <v>0</v>
      </c>
    </row>
    <row r="12" spans="1:13" ht="24.95" customHeight="1" x14ac:dyDescent="0.25">
      <c r="A12" s="11" t="s">
        <v>445</v>
      </c>
      <c r="B12" s="8" t="s">
        <v>77</v>
      </c>
      <c r="C12" s="7">
        <v>0</v>
      </c>
      <c r="D12" s="8">
        <v>150</v>
      </c>
      <c r="E12" s="8" t="s">
        <v>2</v>
      </c>
      <c r="F12" s="26">
        <f t="shared" si="0"/>
        <v>0</v>
      </c>
      <c r="G12" s="7"/>
      <c r="H12" s="26">
        <v>0</v>
      </c>
      <c r="I12" s="26">
        <v>0</v>
      </c>
    </row>
    <row r="13" spans="1:13" ht="24.95" customHeight="1" x14ac:dyDescent="0.25">
      <c r="A13" s="11" t="s">
        <v>446</v>
      </c>
      <c r="B13" s="8" t="s">
        <v>78</v>
      </c>
      <c r="C13" s="7">
        <v>0</v>
      </c>
      <c r="D13" s="8">
        <v>150</v>
      </c>
      <c r="E13" s="8" t="s">
        <v>2</v>
      </c>
      <c r="F13" s="26">
        <f t="shared" si="0"/>
        <v>0</v>
      </c>
      <c r="G13" s="7"/>
      <c r="H13" s="26">
        <v>0</v>
      </c>
      <c r="I13" s="26">
        <v>0</v>
      </c>
    </row>
    <row r="14" spans="1:13" ht="24.95" customHeight="1" x14ac:dyDescent="0.25">
      <c r="A14" s="11" t="s">
        <v>447</v>
      </c>
      <c r="B14" s="8" t="s">
        <v>79</v>
      </c>
      <c r="C14" s="7">
        <v>0</v>
      </c>
      <c r="D14" s="8">
        <v>200</v>
      </c>
      <c r="E14" s="8" t="s">
        <v>2</v>
      </c>
      <c r="F14" s="26">
        <f t="shared" si="0"/>
        <v>0</v>
      </c>
      <c r="G14" s="7"/>
      <c r="H14" s="26">
        <v>0</v>
      </c>
      <c r="I14" s="26">
        <v>0</v>
      </c>
    </row>
    <row r="15" spans="1:13" ht="24.95" customHeight="1" x14ac:dyDescent="0.25">
      <c r="A15" s="11" t="s">
        <v>448</v>
      </c>
      <c r="B15" s="8" t="s">
        <v>80</v>
      </c>
      <c r="C15" s="7">
        <v>0</v>
      </c>
      <c r="D15" s="8">
        <v>30</v>
      </c>
      <c r="E15" s="8" t="s">
        <v>2</v>
      </c>
      <c r="F15" s="26">
        <f t="shared" si="0"/>
        <v>0</v>
      </c>
      <c r="G15" s="7"/>
      <c r="H15" s="26">
        <v>0</v>
      </c>
      <c r="I15" s="26">
        <v>0</v>
      </c>
    </row>
    <row r="16" spans="1:13" ht="24.95" customHeight="1" x14ac:dyDescent="0.25">
      <c r="A16" s="11" t="s">
        <v>449</v>
      </c>
      <c r="B16" s="8" t="s">
        <v>81</v>
      </c>
      <c r="C16" s="7">
        <v>0</v>
      </c>
      <c r="D16" s="8">
        <v>30</v>
      </c>
      <c r="E16" s="8" t="s">
        <v>2</v>
      </c>
      <c r="F16" s="26">
        <f t="shared" si="0"/>
        <v>0</v>
      </c>
      <c r="G16" s="7"/>
      <c r="H16" s="26">
        <v>0</v>
      </c>
      <c r="I16" s="26">
        <v>0</v>
      </c>
    </row>
    <row r="17" spans="1:9" ht="24.95" customHeight="1" x14ac:dyDescent="0.25">
      <c r="A17" s="11" t="s">
        <v>450</v>
      </c>
      <c r="B17" s="8" t="s">
        <v>82</v>
      </c>
      <c r="C17" s="7">
        <v>0</v>
      </c>
      <c r="D17" s="8">
        <v>20</v>
      </c>
      <c r="E17" s="8" t="s">
        <v>2</v>
      </c>
      <c r="F17" s="26">
        <f t="shared" si="0"/>
        <v>0</v>
      </c>
      <c r="G17" s="7"/>
      <c r="H17" s="26">
        <v>0</v>
      </c>
      <c r="I17" s="26">
        <v>0</v>
      </c>
    </row>
    <row r="18" spans="1:9" ht="24.95" customHeight="1" x14ac:dyDescent="0.25">
      <c r="A18" s="11" t="s">
        <v>451</v>
      </c>
      <c r="B18" s="8" t="s">
        <v>83</v>
      </c>
      <c r="C18" s="7">
        <v>0</v>
      </c>
      <c r="D18" s="8">
        <v>60</v>
      </c>
      <c r="E18" s="8" t="s">
        <v>2</v>
      </c>
      <c r="F18" s="26">
        <f t="shared" si="0"/>
        <v>0</v>
      </c>
      <c r="G18" s="7"/>
      <c r="H18" s="26">
        <v>0</v>
      </c>
      <c r="I18" s="26">
        <v>0</v>
      </c>
    </row>
    <row r="19" spans="1:9" ht="24.95" customHeight="1" x14ac:dyDescent="0.25">
      <c r="A19" s="11" t="s">
        <v>452</v>
      </c>
      <c r="B19" s="8" t="s">
        <v>85</v>
      </c>
      <c r="C19" s="7">
        <v>0</v>
      </c>
      <c r="D19" s="8">
        <v>60</v>
      </c>
      <c r="E19" s="8" t="s">
        <v>2</v>
      </c>
      <c r="F19" s="26">
        <f t="shared" si="0"/>
        <v>0</v>
      </c>
      <c r="G19" s="7"/>
      <c r="H19" s="26">
        <v>0</v>
      </c>
      <c r="I19" s="26">
        <v>0</v>
      </c>
    </row>
    <row r="20" spans="1:9" ht="24.95" customHeight="1" x14ac:dyDescent="0.25">
      <c r="A20" s="11" t="s">
        <v>453</v>
      </c>
      <c r="B20" s="8" t="s">
        <v>119</v>
      </c>
      <c r="C20" s="7">
        <v>0</v>
      </c>
      <c r="D20" s="8">
        <v>30</v>
      </c>
      <c r="E20" s="8" t="s">
        <v>2</v>
      </c>
      <c r="F20" s="26">
        <f t="shared" si="0"/>
        <v>0</v>
      </c>
      <c r="G20" s="7"/>
      <c r="H20" s="26">
        <v>0</v>
      </c>
      <c r="I20" s="26">
        <v>0</v>
      </c>
    </row>
    <row r="21" spans="1:9" ht="24.95" customHeight="1" x14ac:dyDescent="0.25">
      <c r="A21" s="11" t="s">
        <v>454</v>
      </c>
      <c r="B21" s="8" t="s">
        <v>84</v>
      </c>
      <c r="C21" s="7">
        <v>0</v>
      </c>
      <c r="D21" s="8">
        <v>40</v>
      </c>
      <c r="E21" s="8" t="s">
        <v>2</v>
      </c>
      <c r="F21" s="26">
        <f t="shared" si="0"/>
        <v>0</v>
      </c>
      <c r="G21" s="7"/>
      <c r="H21" s="26">
        <v>0</v>
      </c>
      <c r="I21" s="26">
        <v>0</v>
      </c>
    </row>
    <row r="22" spans="1:9" ht="24.95" customHeight="1" x14ac:dyDescent="0.25">
      <c r="A22" s="11" t="s">
        <v>455</v>
      </c>
      <c r="B22" s="8" t="s">
        <v>86</v>
      </c>
      <c r="C22" s="7">
        <v>0</v>
      </c>
      <c r="D22" s="8">
        <v>60</v>
      </c>
      <c r="E22" s="8" t="s">
        <v>2</v>
      </c>
      <c r="F22" s="26">
        <f t="shared" si="0"/>
        <v>0</v>
      </c>
      <c r="G22" s="7"/>
      <c r="H22" s="26">
        <v>0</v>
      </c>
      <c r="I22" s="26">
        <v>0</v>
      </c>
    </row>
    <row r="23" spans="1:9" ht="24.95" customHeight="1" x14ac:dyDescent="0.25">
      <c r="A23" s="11" t="s">
        <v>456</v>
      </c>
      <c r="B23" s="8" t="s">
        <v>89</v>
      </c>
      <c r="C23" s="7">
        <v>0</v>
      </c>
      <c r="D23" s="8">
        <v>150</v>
      </c>
      <c r="E23" s="8" t="s">
        <v>2</v>
      </c>
      <c r="F23" s="26">
        <f t="shared" si="0"/>
        <v>0</v>
      </c>
      <c r="G23" s="7"/>
      <c r="H23" s="26">
        <v>0</v>
      </c>
      <c r="I23" s="26">
        <v>0</v>
      </c>
    </row>
    <row r="24" spans="1:9" ht="24.95" customHeight="1" x14ac:dyDescent="0.25">
      <c r="A24" s="11" t="s">
        <v>457</v>
      </c>
      <c r="B24" s="8" t="s">
        <v>109</v>
      </c>
      <c r="C24" s="7">
        <v>0</v>
      </c>
      <c r="D24" s="8">
        <v>40</v>
      </c>
      <c r="E24" s="8" t="s">
        <v>2</v>
      </c>
      <c r="F24" s="26">
        <f t="shared" si="0"/>
        <v>0</v>
      </c>
      <c r="G24" s="7"/>
      <c r="H24" s="26">
        <v>0</v>
      </c>
      <c r="I24" s="26">
        <v>0</v>
      </c>
    </row>
    <row r="25" spans="1:9" ht="24.95" customHeight="1" x14ac:dyDescent="0.25">
      <c r="A25" s="11" t="s">
        <v>458</v>
      </c>
      <c r="B25" s="8" t="s">
        <v>90</v>
      </c>
      <c r="C25" s="7">
        <v>0</v>
      </c>
      <c r="D25" s="8">
        <v>50</v>
      </c>
      <c r="E25" s="8" t="s">
        <v>2</v>
      </c>
      <c r="F25" s="26">
        <f t="shared" si="0"/>
        <v>0</v>
      </c>
      <c r="G25" s="7"/>
      <c r="H25" s="26">
        <v>0</v>
      </c>
      <c r="I25" s="26">
        <v>0</v>
      </c>
    </row>
    <row r="26" spans="1:9" ht="24.95" customHeight="1" x14ac:dyDescent="0.25">
      <c r="A26" s="11" t="s">
        <v>459</v>
      </c>
      <c r="B26" s="8" t="s">
        <v>91</v>
      </c>
      <c r="C26" s="7">
        <v>0</v>
      </c>
      <c r="D26" s="8">
        <v>80</v>
      </c>
      <c r="E26" s="8" t="s">
        <v>137</v>
      </c>
      <c r="F26" s="26">
        <f t="shared" si="0"/>
        <v>0</v>
      </c>
      <c r="G26" s="7"/>
      <c r="H26" s="26">
        <v>0</v>
      </c>
      <c r="I26" s="26">
        <v>0</v>
      </c>
    </row>
    <row r="27" spans="1:9" ht="24.95" customHeight="1" x14ac:dyDescent="0.25">
      <c r="A27" s="11" t="s">
        <v>460</v>
      </c>
      <c r="B27" s="8" t="s">
        <v>93</v>
      </c>
      <c r="C27" s="7">
        <v>0</v>
      </c>
      <c r="D27" s="8">
        <v>120</v>
      </c>
      <c r="E27" s="8" t="s">
        <v>137</v>
      </c>
      <c r="F27" s="26">
        <f t="shared" si="0"/>
        <v>0</v>
      </c>
      <c r="G27" s="7"/>
      <c r="H27" s="26">
        <v>0</v>
      </c>
      <c r="I27" s="26">
        <v>0</v>
      </c>
    </row>
    <row r="28" spans="1:9" ht="24.95" customHeight="1" x14ac:dyDescent="0.25">
      <c r="A28" s="11" t="s">
        <v>461</v>
      </c>
      <c r="B28" s="8" t="s">
        <v>94</v>
      </c>
      <c r="C28" s="7">
        <v>0</v>
      </c>
      <c r="D28" s="8">
        <v>5</v>
      </c>
      <c r="E28" s="8" t="s">
        <v>137</v>
      </c>
      <c r="F28" s="26">
        <f t="shared" si="0"/>
        <v>0</v>
      </c>
      <c r="G28" s="7"/>
      <c r="H28" s="26">
        <v>0</v>
      </c>
      <c r="I28" s="26">
        <v>0</v>
      </c>
    </row>
    <row r="29" spans="1:9" ht="24.95" customHeight="1" x14ac:dyDescent="0.25">
      <c r="A29" s="11" t="s">
        <v>462</v>
      </c>
      <c r="B29" s="8" t="s">
        <v>95</v>
      </c>
      <c r="C29" s="7">
        <v>0</v>
      </c>
      <c r="D29" s="8">
        <v>5</v>
      </c>
      <c r="E29" s="8" t="s">
        <v>137</v>
      </c>
      <c r="F29" s="26">
        <f t="shared" si="0"/>
        <v>0</v>
      </c>
      <c r="G29" s="7"/>
      <c r="H29" s="26">
        <v>0</v>
      </c>
      <c r="I29" s="26">
        <v>0</v>
      </c>
    </row>
    <row r="30" spans="1:9" ht="24.95" customHeight="1" x14ac:dyDescent="0.25">
      <c r="A30" s="11" t="s">
        <v>463</v>
      </c>
      <c r="B30" s="8" t="s">
        <v>98</v>
      </c>
      <c r="C30" s="7">
        <v>0</v>
      </c>
      <c r="D30" s="8">
        <v>5</v>
      </c>
      <c r="E30" s="8" t="s">
        <v>137</v>
      </c>
      <c r="F30" s="26">
        <f t="shared" si="0"/>
        <v>0</v>
      </c>
      <c r="G30" s="7"/>
      <c r="H30" s="26">
        <v>0</v>
      </c>
      <c r="I30" s="26">
        <v>0</v>
      </c>
    </row>
    <row r="31" spans="1:9" s="30" customFormat="1" ht="24.95" customHeight="1" x14ac:dyDescent="0.25">
      <c r="A31" s="11" t="s">
        <v>464</v>
      </c>
      <c r="B31" s="21" t="s">
        <v>92</v>
      </c>
      <c r="C31" s="7">
        <v>0</v>
      </c>
      <c r="D31" s="21">
        <v>80</v>
      </c>
      <c r="E31" s="21" t="s">
        <v>137</v>
      </c>
      <c r="F31" s="26">
        <f t="shared" si="0"/>
        <v>0</v>
      </c>
      <c r="G31" s="7"/>
      <c r="H31" s="26">
        <v>0</v>
      </c>
      <c r="I31" s="26">
        <v>0</v>
      </c>
    </row>
    <row r="32" spans="1:9" ht="24.95" customHeight="1" x14ac:dyDescent="0.25">
      <c r="A32" s="11" t="s">
        <v>465</v>
      </c>
      <c r="B32" s="8" t="s">
        <v>108</v>
      </c>
      <c r="C32" s="7">
        <v>0</v>
      </c>
      <c r="D32" s="8">
        <v>90</v>
      </c>
      <c r="E32" s="8" t="s">
        <v>2</v>
      </c>
      <c r="F32" s="26">
        <f t="shared" si="0"/>
        <v>0</v>
      </c>
      <c r="G32" s="7"/>
      <c r="H32" s="26">
        <v>0</v>
      </c>
      <c r="I32" s="26">
        <v>0</v>
      </c>
    </row>
    <row r="33" spans="1:9" ht="24.95" customHeight="1" x14ac:dyDescent="0.25">
      <c r="A33" s="11" t="s">
        <v>466</v>
      </c>
      <c r="B33" s="8" t="s">
        <v>110</v>
      </c>
      <c r="C33" s="7">
        <v>0</v>
      </c>
      <c r="D33" s="8">
        <v>10</v>
      </c>
      <c r="E33" s="8" t="s">
        <v>2</v>
      </c>
      <c r="F33" s="26">
        <f t="shared" si="0"/>
        <v>0</v>
      </c>
      <c r="G33" s="7"/>
      <c r="H33" s="26">
        <v>0</v>
      </c>
      <c r="I33" s="26">
        <v>0</v>
      </c>
    </row>
    <row r="34" spans="1:9" ht="24.95" customHeight="1" x14ac:dyDescent="0.25">
      <c r="A34" s="11" t="s">
        <v>467</v>
      </c>
      <c r="B34" s="8" t="s">
        <v>123</v>
      </c>
      <c r="C34" s="7">
        <v>0</v>
      </c>
      <c r="D34" s="8">
        <v>40</v>
      </c>
      <c r="E34" s="8" t="s">
        <v>2</v>
      </c>
      <c r="F34" s="26">
        <f t="shared" si="0"/>
        <v>0</v>
      </c>
      <c r="G34" s="7"/>
      <c r="H34" s="26">
        <v>0</v>
      </c>
      <c r="I34" s="26">
        <v>0</v>
      </c>
    </row>
    <row r="35" spans="1:9" s="30" customFormat="1" ht="24.95" customHeight="1" x14ac:dyDescent="0.25">
      <c r="A35" s="11" t="s">
        <v>468</v>
      </c>
      <c r="B35" s="8" t="s">
        <v>140</v>
      </c>
      <c r="C35" s="7">
        <v>0</v>
      </c>
      <c r="D35" s="8">
        <v>40</v>
      </c>
      <c r="E35" s="8" t="s">
        <v>2</v>
      </c>
      <c r="F35" s="26">
        <f t="shared" si="0"/>
        <v>0</v>
      </c>
      <c r="G35" s="7"/>
      <c r="H35" s="26">
        <v>0</v>
      </c>
      <c r="I35" s="26">
        <v>0</v>
      </c>
    </row>
    <row r="36" spans="1:9" ht="24.95" customHeight="1" x14ac:dyDescent="0.25">
      <c r="A36" s="11" t="s">
        <v>469</v>
      </c>
      <c r="B36" s="8" t="s">
        <v>139</v>
      </c>
      <c r="C36" s="7">
        <v>0</v>
      </c>
      <c r="D36" s="8">
        <v>40</v>
      </c>
      <c r="E36" s="8" t="s">
        <v>2</v>
      </c>
      <c r="F36" s="26">
        <f t="shared" si="0"/>
        <v>0</v>
      </c>
      <c r="G36" s="7"/>
      <c r="H36" s="26">
        <v>0</v>
      </c>
      <c r="I36" s="26">
        <v>0</v>
      </c>
    </row>
    <row r="37" spans="1:9" s="30" customFormat="1" ht="24.95" customHeight="1" x14ac:dyDescent="0.25">
      <c r="A37" s="11" t="s">
        <v>470</v>
      </c>
      <c r="B37" s="8" t="s">
        <v>252</v>
      </c>
      <c r="C37" s="7">
        <v>0</v>
      </c>
      <c r="D37" s="8">
        <v>40</v>
      </c>
      <c r="E37" s="8" t="s">
        <v>2</v>
      </c>
      <c r="F37" s="26">
        <f t="shared" si="0"/>
        <v>0</v>
      </c>
      <c r="G37" s="7"/>
      <c r="H37" s="26">
        <v>0</v>
      </c>
      <c r="I37" s="26">
        <v>0</v>
      </c>
    </row>
    <row r="38" spans="1:9" ht="24.95" customHeight="1" x14ac:dyDescent="0.25">
      <c r="A38" s="11" t="s">
        <v>471</v>
      </c>
      <c r="B38" s="21" t="s">
        <v>141</v>
      </c>
      <c r="C38" s="7">
        <v>0</v>
      </c>
      <c r="D38" s="8">
        <v>40</v>
      </c>
      <c r="E38" s="8" t="s">
        <v>2</v>
      </c>
      <c r="F38" s="26">
        <f t="shared" si="0"/>
        <v>0</v>
      </c>
      <c r="G38" s="7"/>
      <c r="H38" s="26">
        <v>0</v>
      </c>
      <c r="I38" s="26">
        <v>0</v>
      </c>
    </row>
    <row r="39" spans="1:9" s="30" customFormat="1" ht="24.95" customHeight="1" x14ac:dyDescent="0.25">
      <c r="A39" s="11" t="s">
        <v>472</v>
      </c>
      <c r="B39" s="21" t="s">
        <v>36</v>
      </c>
      <c r="C39" s="7">
        <v>0</v>
      </c>
      <c r="D39" s="21">
        <v>100</v>
      </c>
      <c r="E39" s="32" t="s">
        <v>2</v>
      </c>
      <c r="F39" s="26">
        <f t="shared" si="0"/>
        <v>0</v>
      </c>
      <c r="G39" s="7"/>
      <c r="H39" s="26">
        <v>0</v>
      </c>
      <c r="I39" s="26">
        <v>0</v>
      </c>
    </row>
    <row r="40" spans="1:9" s="30" customFormat="1" ht="24.95" customHeight="1" x14ac:dyDescent="0.25">
      <c r="A40" s="11" t="s">
        <v>473</v>
      </c>
      <c r="B40" s="21" t="s">
        <v>37</v>
      </c>
      <c r="C40" s="7">
        <v>0</v>
      </c>
      <c r="D40" s="21">
        <v>5</v>
      </c>
      <c r="E40" s="32" t="s">
        <v>2</v>
      </c>
      <c r="F40" s="26">
        <f t="shared" si="0"/>
        <v>0</v>
      </c>
      <c r="G40" s="7"/>
      <c r="H40" s="26">
        <v>0</v>
      </c>
      <c r="I40" s="26">
        <v>0</v>
      </c>
    </row>
    <row r="41" spans="1:9" s="30" customFormat="1" ht="24.95" customHeight="1" x14ac:dyDescent="0.25">
      <c r="A41" s="11" t="s">
        <v>474</v>
      </c>
      <c r="B41" s="21" t="s">
        <v>668</v>
      </c>
      <c r="C41" s="7">
        <v>0</v>
      </c>
      <c r="D41" s="21">
        <v>5</v>
      </c>
      <c r="E41" s="32" t="s">
        <v>137</v>
      </c>
      <c r="F41" s="26">
        <f t="shared" si="0"/>
        <v>0</v>
      </c>
      <c r="G41" s="7"/>
      <c r="H41" s="26">
        <v>0</v>
      </c>
      <c r="I41" s="26">
        <v>0</v>
      </c>
    </row>
    <row r="42" spans="1:9" s="30" customFormat="1" ht="24.95" customHeight="1" x14ac:dyDescent="0.25">
      <c r="A42" s="11" t="s">
        <v>475</v>
      </c>
      <c r="B42" s="21" t="s">
        <v>669</v>
      </c>
      <c r="C42" s="7">
        <v>0</v>
      </c>
      <c r="D42" s="21">
        <v>5</v>
      </c>
      <c r="E42" s="32" t="s">
        <v>137</v>
      </c>
      <c r="F42" s="26">
        <f>+C42*D42</f>
        <v>0</v>
      </c>
      <c r="G42" s="7"/>
      <c r="H42" s="26">
        <v>0</v>
      </c>
      <c r="I42" s="26">
        <v>0</v>
      </c>
    </row>
    <row r="43" spans="1:9" s="30" customFormat="1" ht="24.95" customHeight="1" x14ac:dyDescent="0.25">
      <c r="A43" s="11" t="s">
        <v>476</v>
      </c>
      <c r="B43" s="21" t="s">
        <v>670</v>
      </c>
      <c r="C43" s="7">
        <v>0</v>
      </c>
      <c r="D43" s="21">
        <v>5</v>
      </c>
      <c r="E43" s="32" t="s">
        <v>137</v>
      </c>
      <c r="F43" s="26">
        <f t="shared" si="0"/>
        <v>0</v>
      </c>
      <c r="G43" s="7"/>
      <c r="H43" s="26">
        <v>0</v>
      </c>
      <c r="I43" s="26">
        <v>0</v>
      </c>
    </row>
    <row r="44" spans="1:9" s="30" customFormat="1" ht="24.95" customHeight="1" x14ac:dyDescent="0.25">
      <c r="A44" s="11" t="s">
        <v>477</v>
      </c>
      <c r="B44" s="8" t="s">
        <v>675</v>
      </c>
      <c r="C44" s="7">
        <v>0</v>
      </c>
      <c r="D44" s="8">
        <v>300</v>
      </c>
      <c r="E44" s="8" t="s">
        <v>14</v>
      </c>
      <c r="F44" s="26">
        <f t="shared" si="0"/>
        <v>0</v>
      </c>
      <c r="G44" s="7"/>
      <c r="H44" s="26">
        <v>0</v>
      </c>
      <c r="I44" s="26">
        <v>0</v>
      </c>
    </row>
    <row r="45" spans="1:9" s="30" customFormat="1" ht="24.95" customHeight="1" x14ac:dyDescent="0.25">
      <c r="A45" s="11" t="s">
        <v>478</v>
      </c>
      <c r="B45" s="8" t="s">
        <v>676</v>
      </c>
      <c r="C45" s="7">
        <v>0</v>
      </c>
      <c r="D45" s="8">
        <v>400</v>
      </c>
      <c r="E45" s="8" t="s">
        <v>14</v>
      </c>
      <c r="F45" s="26">
        <f t="shared" si="0"/>
        <v>0</v>
      </c>
      <c r="G45" s="7"/>
      <c r="H45" s="26">
        <v>0</v>
      </c>
      <c r="I45" s="26">
        <v>0</v>
      </c>
    </row>
    <row r="46" spans="1:9" s="30" customFormat="1" ht="24.95" customHeight="1" x14ac:dyDescent="0.25">
      <c r="A46" s="11" t="s">
        <v>479</v>
      </c>
      <c r="B46" s="8" t="s">
        <v>677</v>
      </c>
      <c r="C46" s="7">
        <v>0</v>
      </c>
      <c r="D46" s="8">
        <v>400</v>
      </c>
      <c r="E46" s="8" t="s">
        <v>14</v>
      </c>
      <c r="F46" s="26">
        <f t="shared" si="0"/>
        <v>0</v>
      </c>
      <c r="G46" s="7"/>
      <c r="H46" s="26">
        <v>0</v>
      </c>
      <c r="I46" s="26">
        <v>0</v>
      </c>
    </row>
    <row r="47" spans="1:9" s="30" customFormat="1" ht="24.95" customHeight="1" x14ac:dyDescent="0.25">
      <c r="A47" s="11" t="s">
        <v>480</v>
      </c>
      <c r="B47" s="8" t="s">
        <v>678</v>
      </c>
      <c r="C47" s="7">
        <v>0</v>
      </c>
      <c r="D47" s="8">
        <v>300</v>
      </c>
      <c r="E47" s="8" t="s">
        <v>14</v>
      </c>
      <c r="F47" s="26">
        <f t="shared" si="0"/>
        <v>0</v>
      </c>
      <c r="G47" s="7"/>
      <c r="H47" s="26">
        <v>0</v>
      </c>
      <c r="I47" s="26">
        <v>0</v>
      </c>
    </row>
    <row r="48" spans="1:9" s="30" customFormat="1" ht="24.95" customHeight="1" x14ac:dyDescent="0.25">
      <c r="A48" s="11" t="s">
        <v>481</v>
      </c>
      <c r="B48" s="8" t="s">
        <v>679</v>
      </c>
      <c r="C48" s="7">
        <v>0</v>
      </c>
      <c r="D48" s="8">
        <v>1500</v>
      </c>
      <c r="E48" s="8" t="s">
        <v>201</v>
      </c>
      <c r="F48" s="26">
        <f t="shared" si="0"/>
        <v>0</v>
      </c>
      <c r="G48" s="7"/>
      <c r="H48" s="26">
        <v>0</v>
      </c>
      <c r="I48" s="26">
        <v>0</v>
      </c>
    </row>
    <row r="49" spans="1:9" s="30" customFormat="1" ht="24.95" customHeight="1" x14ac:dyDescent="0.25">
      <c r="A49" s="11" t="s">
        <v>482</v>
      </c>
      <c r="B49" s="8" t="s">
        <v>38</v>
      </c>
      <c r="C49" s="7">
        <v>0</v>
      </c>
      <c r="D49" s="8">
        <v>70</v>
      </c>
      <c r="E49" s="32" t="s">
        <v>2</v>
      </c>
      <c r="F49" s="26">
        <f t="shared" si="0"/>
        <v>0</v>
      </c>
      <c r="G49" s="7"/>
      <c r="H49" s="26">
        <v>0</v>
      </c>
      <c r="I49" s="26">
        <v>0</v>
      </c>
    </row>
    <row r="50" spans="1:9" ht="24.95" customHeight="1" x14ac:dyDescent="0.25">
      <c r="A50" s="11" t="s">
        <v>483</v>
      </c>
      <c r="B50" s="8" t="s">
        <v>73</v>
      </c>
      <c r="C50" s="7">
        <v>0</v>
      </c>
      <c r="D50" s="8">
        <v>150</v>
      </c>
      <c r="E50" s="32" t="s">
        <v>2</v>
      </c>
      <c r="F50" s="26">
        <f t="shared" si="0"/>
        <v>0</v>
      </c>
      <c r="G50" s="7"/>
      <c r="H50" s="26">
        <v>0</v>
      </c>
      <c r="I50" s="26">
        <v>0</v>
      </c>
    </row>
    <row r="51" spans="1:9" ht="24.95" customHeight="1" x14ac:dyDescent="0.25">
      <c r="A51" s="11" t="s">
        <v>484</v>
      </c>
      <c r="B51" s="8" t="s">
        <v>74</v>
      </c>
      <c r="C51" s="7">
        <v>0</v>
      </c>
      <c r="D51" s="8">
        <v>10</v>
      </c>
      <c r="E51" s="32" t="s">
        <v>2</v>
      </c>
      <c r="F51" s="26">
        <f t="shared" si="0"/>
        <v>0</v>
      </c>
      <c r="G51" s="7"/>
      <c r="H51" s="26">
        <v>0</v>
      </c>
      <c r="I51" s="26">
        <v>0</v>
      </c>
    </row>
    <row r="52" spans="1:9" ht="24.95" customHeight="1" x14ac:dyDescent="0.25">
      <c r="A52" s="11" t="s">
        <v>485</v>
      </c>
      <c r="B52" s="8" t="s">
        <v>70</v>
      </c>
      <c r="C52" s="7">
        <v>0</v>
      </c>
      <c r="D52" s="8">
        <v>10</v>
      </c>
      <c r="E52" s="32" t="s">
        <v>2</v>
      </c>
      <c r="F52" s="26">
        <f t="shared" si="0"/>
        <v>0</v>
      </c>
      <c r="G52" s="7"/>
      <c r="H52" s="26">
        <v>0</v>
      </c>
      <c r="I52" s="26">
        <v>0</v>
      </c>
    </row>
    <row r="53" spans="1:9" ht="24.95" customHeight="1" x14ac:dyDescent="0.25">
      <c r="A53" s="11" t="s">
        <v>486</v>
      </c>
      <c r="B53" s="8" t="s">
        <v>69</v>
      </c>
      <c r="C53" s="7">
        <v>0</v>
      </c>
      <c r="D53" s="8">
        <v>10</v>
      </c>
      <c r="E53" s="32" t="s">
        <v>2</v>
      </c>
      <c r="F53" s="26">
        <f t="shared" si="0"/>
        <v>0</v>
      </c>
      <c r="G53" s="7"/>
      <c r="H53" s="26">
        <v>0</v>
      </c>
      <c r="I53" s="26">
        <v>0</v>
      </c>
    </row>
    <row r="54" spans="1:9" ht="24.95" customHeight="1" x14ac:dyDescent="0.25">
      <c r="A54" s="11" t="s">
        <v>487</v>
      </c>
      <c r="B54" s="8" t="s">
        <v>71</v>
      </c>
      <c r="C54" s="7">
        <v>0</v>
      </c>
      <c r="D54" s="8">
        <v>20</v>
      </c>
      <c r="E54" s="32" t="s">
        <v>2</v>
      </c>
      <c r="F54" s="26">
        <f t="shared" si="0"/>
        <v>0</v>
      </c>
      <c r="G54" s="7"/>
      <c r="H54" s="26">
        <v>0</v>
      </c>
      <c r="I54" s="26">
        <v>0</v>
      </c>
    </row>
    <row r="55" spans="1:9" ht="24.95" customHeight="1" x14ac:dyDescent="0.25">
      <c r="A55" s="11" t="s">
        <v>488</v>
      </c>
      <c r="B55" s="8" t="s">
        <v>72</v>
      </c>
      <c r="C55" s="7">
        <v>0</v>
      </c>
      <c r="D55" s="8">
        <v>20</v>
      </c>
      <c r="E55" s="32" t="s">
        <v>2</v>
      </c>
      <c r="F55" s="26">
        <f t="shared" si="0"/>
        <v>0</v>
      </c>
      <c r="G55" s="7"/>
      <c r="H55" s="26">
        <v>0</v>
      </c>
      <c r="I55" s="26">
        <v>0</v>
      </c>
    </row>
    <row r="56" spans="1:9" ht="24.95" customHeight="1" x14ac:dyDescent="0.25">
      <c r="A56" s="11" t="s">
        <v>489</v>
      </c>
      <c r="B56" s="8" t="s">
        <v>680</v>
      </c>
      <c r="C56" s="7">
        <v>0</v>
      </c>
      <c r="D56" s="8">
        <v>2000</v>
      </c>
      <c r="E56" s="8" t="s">
        <v>14</v>
      </c>
      <c r="F56" s="26">
        <f t="shared" si="0"/>
        <v>0</v>
      </c>
      <c r="G56" s="7"/>
      <c r="H56" s="26">
        <v>0</v>
      </c>
      <c r="I56" s="26">
        <v>0</v>
      </c>
    </row>
    <row r="57" spans="1:9" ht="24.95" customHeight="1" x14ac:dyDescent="0.25">
      <c r="A57" s="11" t="s">
        <v>490</v>
      </c>
      <c r="B57" s="8" t="s">
        <v>681</v>
      </c>
      <c r="C57" s="7">
        <v>0</v>
      </c>
      <c r="D57" s="8">
        <v>2000</v>
      </c>
      <c r="E57" s="8" t="s">
        <v>201</v>
      </c>
      <c r="F57" s="26">
        <f t="shared" si="0"/>
        <v>0</v>
      </c>
      <c r="G57" s="7"/>
      <c r="H57" s="26">
        <v>0</v>
      </c>
      <c r="I57" s="26">
        <v>0</v>
      </c>
    </row>
    <row r="58" spans="1:9" ht="24.95" customHeight="1" x14ac:dyDescent="0.25">
      <c r="A58" s="11" t="s">
        <v>491</v>
      </c>
      <c r="B58" s="8" t="s">
        <v>128</v>
      </c>
      <c r="C58" s="7">
        <v>0</v>
      </c>
      <c r="D58" s="8">
        <v>50</v>
      </c>
      <c r="E58" s="8" t="s">
        <v>2</v>
      </c>
      <c r="F58" s="26">
        <f t="shared" si="0"/>
        <v>0</v>
      </c>
      <c r="G58" s="7"/>
      <c r="H58" s="26">
        <v>0</v>
      </c>
      <c r="I58" s="26">
        <v>0</v>
      </c>
    </row>
    <row r="59" spans="1:9" ht="24.95" customHeight="1" x14ac:dyDescent="0.25">
      <c r="A59" s="11" t="s">
        <v>492</v>
      </c>
      <c r="B59" s="8" t="s">
        <v>699</v>
      </c>
      <c r="C59" s="7">
        <v>0</v>
      </c>
      <c r="D59" s="8">
        <v>5</v>
      </c>
      <c r="E59" s="8" t="s">
        <v>2</v>
      </c>
      <c r="F59" s="26">
        <f t="shared" si="0"/>
        <v>0</v>
      </c>
      <c r="G59" s="7"/>
      <c r="H59" s="26">
        <v>0</v>
      </c>
      <c r="I59" s="26">
        <v>0</v>
      </c>
    </row>
    <row r="60" spans="1:9" ht="24.95" customHeight="1" x14ac:dyDescent="0.25">
      <c r="A60" s="11" t="s">
        <v>493</v>
      </c>
      <c r="B60" s="8" t="s">
        <v>692</v>
      </c>
      <c r="C60" s="7">
        <v>0</v>
      </c>
      <c r="D60" s="8">
        <v>5</v>
      </c>
      <c r="E60" s="8" t="s">
        <v>2</v>
      </c>
      <c r="F60" s="26">
        <f t="shared" si="0"/>
        <v>0</v>
      </c>
      <c r="G60" s="7"/>
      <c r="H60" s="26">
        <v>0</v>
      </c>
      <c r="I60" s="26">
        <v>0</v>
      </c>
    </row>
    <row r="61" spans="1:9" ht="24.95" customHeight="1" x14ac:dyDescent="0.25">
      <c r="A61" s="11" t="s">
        <v>494</v>
      </c>
      <c r="B61" s="8" t="s">
        <v>691</v>
      </c>
      <c r="C61" s="7">
        <v>0</v>
      </c>
      <c r="D61" s="8">
        <v>5</v>
      </c>
      <c r="E61" s="8" t="s">
        <v>2</v>
      </c>
      <c r="F61" s="26">
        <f t="shared" si="0"/>
        <v>0</v>
      </c>
      <c r="G61" s="7"/>
      <c r="H61" s="26">
        <v>0</v>
      </c>
      <c r="I61" s="26">
        <v>0</v>
      </c>
    </row>
    <row r="62" spans="1:9" ht="24.95" customHeight="1" x14ac:dyDescent="0.25">
      <c r="A62" s="11" t="s">
        <v>495</v>
      </c>
      <c r="B62" s="8" t="s">
        <v>143</v>
      </c>
      <c r="C62" s="7">
        <v>0</v>
      </c>
      <c r="D62" s="8">
        <v>100</v>
      </c>
      <c r="E62" s="8" t="s">
        <v>2</v>
      </c>
      <c r="F62" s="26">
        <f t="shared" ref="F62:F66" si="1">+C62*D62</f>
        <v>0</v>
      </c>
      <c r="G62" s="7"/>
      <c r="H62" s="26">
        <v>0</v>
      </c>
      <c r="I62" s="26">
        <v>0</v>
      </c>
    </row>
    <row r="63" spans="1:9" ht="24.95" customHeight="1" x14ac:dyDescent="0.25">
      <c r="A63" s="11" t="s">
        <v>671</v>
      </c>
      <c r="B63" s="8" t="s">
        <v>142</v>
      </c>
      <c r="C63" s="7">
        <v>0</v>
      </c>
      <c r="D63" s="8">
        <v>100</v>
      </c>
      <c r="E63" s="8" t="s">
        <v>2</v>
      </c>
      <c r="F63" s="26">
        <f t="shared" si="1"/>
        <v>0</v>
      </c>
      <c r="G63" s="7"/>
      <c r="H63" s="26">
        <v>0</v>
      </c>
      <c r="I63" s="26">
        <v>0</v>
      </c>
    </row>
    <row r="64" spans="1:9" ht="24.95" customHeight="1" x14ac:dyDescent="0.25">
      <c r="A64" s="11" t="s">
        <v>672</v>
      </c>
      <c r="B64" s="8" t="s">
        <v>144</v>
      </c>
      <c r="C64" s="7">
        <v>0</v>
      </c>
      <c r="D64" s="8">
        <v>100</v>
      </c>
      <c r="E64" s="8" t="s">
        <v>2</v>
      </c>
      <c r="F64" s="26">
        <f t="shared" si="1"/>
        <v>0</v>
      </c>
      <c r="G64" s="7"/>
      <c r="H64" s="26">
        <v>0</v>
      </c>
      <c r="I64" s="26">
        <v>0</v>
      </c>
    </row>
    <row r="65" spans="1:9" ht="24.95" customHeight="1" x14ac:dyDescent="0.25">
      <c r="A65" s="11" t="s">
        <v>673</v>
      </c>
      <c r="B65" s="8" t="s">
        <v>145</v>
      </c>
      <c r="C65" s="7">
        <v>0</v>
      </c>
      <c r="D65" s="8">
        <v>100</v>
      </c>
      <c r="E65" s="8" t="s">
        <v>2</v>
      </c>
      <c r="F65" s="26">
        <f t="shared" si="1"/>
        <v>0</v>
      </c>
      <c r="G65" s="7"/>
      <c r="H65" s="26">
        <v>0</v>
      </c>
      <c r="I65" s="26">
        <v>0</v>
      </c>
    </row>
    <row r="66" spans="1:9" ht="24.95" customHeight="1" x14ac:dyDescent="0.25">
      <c r="A66" s="11" t="s">
        <v>674</v>
      </c>
      <c r="B66" s="8" t="s">
        <v>695</v>
      </c>
      <c r="C66" s="7">
        <v>0</v>
      </c>
      <c r="D66" s="8">
        <v>10</v>
      </c>
      <c r="E66" s="8" t="s">
        <v>2</v>
      </c>
      <c r="F66" s="26">
        <f t="shared" si="1"/>
        <v>0</v>
      </c>
      <c r="G66" s="41"/>
      <c r="H66" s="42">
        <v>0</v>
      </c>
      <c r="I66" s="42">
        <v>0</v>
      </c>
    </row>
    <row r="67" spans="1:9" x14ac:dyDescent="0.25">
      <c r="B67" s="51" t="s">
        <v>256</v>
      </c>
      <c r="C67" s="51"/>
      <c r="D67" s="51"/>
      <c r="E67" s="51"/>
      <c r="F67" s="40">
        <f>+SUM(F7:F66)</f>
        <v>0</v>
      </c>
      <c r="G67" s="45"/>
      <c r="H67" s="46"/>
      <c r="I67" s="46"/>
    </row>
    <row r="68" spans="1:9" x14ac:dyDescent="0.25">
      <c r="B68" s="51" t="s">
        <v>258</v>
      </c>
      <c r="C68" s="51"/>
      <c r="D68" s="51"/>
      <c r="E68" s="51"/>
      <c r="F68" s="40">
        <f>+F67*0.055</f>
        <v>0</v>
      </c>
      <c r="G68" s="43"/>
      <c r="H68" s="44"/>
      <c r="I68" s="44"/>
    </row>
    <row r="69" spans="1:9" s="34" customFormat="1" x14ac:dyDescent="0.25">
      <c r="B69" s="51" t="s">
        <v>257</v>
      </c>
      <c r="C69" s="51"/>
      <c r="D69" s="51"/>
      <c r="E69" s="51"/>
      <c r="F69" s="40">
        <f>+F67+F68</f>
        <v>0</v>
      </c>
      <c r="G69" s="43"/>
      <c r="H69" s="44"/>
      <c r="I69" s="44"/>
    </row>
    <row r="70" spans="1:9" s="34" customFormat="1" x14ac:dyDescent="0.25">
      <c r="G70" s="43"/>
      <c r="H70" s="44"/>
      <c r="I70" s="44"/>
    </row>
    <row r="71" spans="1:9" s="34" customFormat="1" x14ac:dyDescent="0.25">
      <c r="B71" s="18" t="s">
        <v>266</v>
      </c>
      <c r="C71" s="19" t="s">
        <v>261</v>
      </c>
      <c r="D71" s="19" t="s">
        <v>262</v>
      </c>
      <c r="E71" s="19" t="s">
        <v>263</v>
      </c>
      <c r="F71" s="49" t="s">
        <v>264</v>
      </c>
      <c r="G71" s="20" t="s">
        <v>265</v>
      </c>
      <c r="H71" s="44"/>
      <c r="I71" s="44"/>
    </row>
    <row r="72" spans="1:9" x14ac:dyDescent="0.25">
      <c r="B72" s="18" t="s">
        <v>260</v>
      </c>
      <c r="C72" s="20" t="s">
        <v>261</v>
      </c>
      <c r="D72" s="20" t="s">
        <v>262</v>
      </c>
      <c r="E72" s="20" t="s">
        <v>263</v>
      </c>
      <c r="F72" s="50" t="s">
        <v>264</v>
      </c>
      <c r="G72" s="20" t="s">
        <v>265</v>
      </c>
      <c r="H72" s="44"/>
      <c r="I72" s="44"/>
    </row>
    <row r="73" spans="1:9" x14ac:dyDescent="0.25">
      <c r="G73" s="43"/>
      <c r="H73" s="44"/>
      <c r="I73" s="44"/>
    </row>
    <row r="74" spans="1:9" x14ac:dyDescent="0.25">
      <c r="G74" s="43"/>
      <c r="H74" s="44"/>
      <c r="I74" s="44"/>
    </row>
    <row r="75" spans="1:9" x14ac:dyDescent="0.25">
      <c r="G75" s="43"/>
      <c r="H75" s="44"/>
      <c r="I75" s="44"/>
    </row>
  </sheetData>
  <mergeCells count="5">
    <mergeCell ref="B67:E67"/>
    <mergeCell ref="B68:E68"/>
    <mergeCell ref="B69:E69"/>
    <mergeCell ref="A2:F2"/>
    <mergeCell ref="A4:F4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3BA4-CC28-4053-A24D-63CEC7704C56}">
  <dimension ref="A1:M48"/>
  <sheetViews>
    <sheetView zoomScaleNormal="100" workbookViewId="0">
      <selection activeCell="G6" sqref="G6:I12"/>
    </sheetView>
  </sheetViews>
  <sheetFormatPr baseColWidth="10" defaultColWidth="11.42578125" defaultRowHeight="15" x14ac:dyDescent="0.25"/>
  <cols>
    <col min="1" max="1" width="5.85546875" style="1" customWidth="1"/>
    <col min="2" max="2" width="31.140625" style="1" bestFit="1" customWidth="1"/>
    <col min="3" max="3" width="15.42578125" style="1" customWidth="1"/>
    <col min="4" max="4" width="18" style="1" customWidth="1"/>
    <col min="5" max="5" width="11.42578125" style="1"/>
    <col min="6" max="6" width="23.28515625" style="1" customWidth="1"/>
    <col min="7" max="7" width="24.85546875" style="1" customWidth="1"/>
    <col min="8" max="8" width="20.28515625" style="1" customWidth="1"/>
    <col min="9" max="9" width="20.5703125" style="1" customWidth="1"/>
    <col min="10" max="16384" width="11.42578125" style="1"/>
  </cols>
  <sheetData>
    <row r="1" spans="1:13" ht="6.75" customHeight="1" thickBot="1" x14ac:dyDescent="0.3">
      <c r="H1" s="2"/>
      <c r="I1" s="2"/>
      <c r="J1" s="2"/>
      <c r="K1" s="2"/>
      <c r="L1" s="2"/>
      <c r="M1" s="2"/>
    </row>
    <row r="2" spans="1:13" ht="15.75" thickBot="1" x14ac:dyDescent="0.3">
      <c r="A2" s="52" t="s">
        <v>643</v>
      </c>
      <c r="B2" s="53"/>
      <c r="C2" s="53"/>
      <c r="D2" s="53"/>
      <c r="E2" s="53"/>
      <c r="F2" s="54"/>
      <c r="H2" s="2"/>
      <c r="I2" s="2"/>
      <c r="J2" s="2"/>
      <c r="K2" s="2"/>
      <c r="L2" s="2"/>
      <c r="M2" s="2"/>
    </row>
    <row r="3" spans="1:13" ht="7.5" customHeight="1" thickBot="1" x14ac:dyDescent="0.3">
      <c r="H3" s="2"/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H4" s="2"/>
      <c r="I4" s="2"/>
      <c r="J4" s="2"/>
      <c r="K4" s="2"/>
      <c r="L4" s="2"/>
      <c r="M4" s="2"/>
    </row>
    <row r="5" spans="1:13" ht="6" customHeight="1" x14ac:dyDescent="0.25">
      <c r="H5" s="2"/>
      <c r="I5" s="2"/>
      <c r="J5" s="2"/>
      <c r="K5" s="2"/>
      <c r="L5" s="2"/>
      <c r="M5" s="2"/>
    </row>
    <row r="6" spans="1:13" ht="45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  <c r="G6" s="3" t="s">
        <v>701</v>
      </c>
      <c r="H6" s="3" t="s">
        <v>702</v>
      </c>
      <c r="I6" s="3" t="s">
        <v>703</v>
      </c>
    </row>
    <row r="7" spans="1:13" s="34" customFormat="1" ht="24.95" customHeight="1" x14ac:dyDescent="0.25">
      <c r="A7" s="11" t="s">
        <v>406</v>
      </c>
      <c r="B7" s="35" t="s">
        <v>683</v>
      </c>
      <c r="C7" s="7">
        <v>0</v>
      </c>
      <c r="D7" s="36">
        <v>350</v>
      </c>
      <c r="E7" s="36" t="s">
        <v>179</v>
      </c>
      <c r="F7" s="26">
        <f>+C7*D7</f>
        <v>0</v>
      </c>
      <c r="G7" s="7"/>
      <c r="H7" s="26">
        <v>0</v>
      </c>
      <c r="I7" s="26">
        <v>0</v>
      </c>
    </row>
    <row r="8" spans="1:13" s="34" customFormat="1" ht="24.95" customHeight="1" x14ac:dyDescent="0.25">
      <c r="A8" s="11" t="s">
        <v>407</v>
      </c>
      <c r="B8" s="8" t="s">
        <v>682</v>
      </c>
      <c r="C8" s="7">
        <v>0</v>
      </c>
      <c r="D8" s="36">
        <v>150</v>
      </c>
      <c r="E8" s="36" t="s">
        <v>179</v>
      </c>
      <c r="F8" s="26">
        <f t="shared" ref="F8:F42" si="0">+C8*D8</f>
        <v>0</v>
      </c>
      <c r="G8" s="7"/>
      <c r="H8" s="26">
        <v>0</v>
      </c>
      <c r="I8" s="26">
        <v>0</v>
      </c>
    </row>
    <row r="9" spans="1:13" ht="24.95" customHeight="1" x14ac:dyDescent="0.25">
      <c r="A9" s="11" t="s">
        <v>408</v>
      </c>
      <c r="B9" s="8" t="s">
        <v>685</v>
      </c>
      <c r="C9" s="7">
        <v>0</v>
      </c>
      <c r="D9" s="36">
        <v>70</v>
      </c>
      <c r="E9" s="36" t="s">
        <v>179</v>
      </c>
      <c r="F9" s="26">
        <f t="shared" si="0"/>
        <v>0</v>
      </c>
      <c r="G9" s="7"/>
      <c r="H9" s="26">
        <v>0</v>
      </c>
      <c r="I9" s="26">
        <v>0</v>
      </c>
    </row>
    <row r="10" spans="1:13" ht="24.95" customHeight="1" x14ac:dyDescent="0.25">
      <c r="A10" s="11" t="s">
        <v>409</v>
      </c>
      <c r="B10" s="8" t="s">
        <v>199</v>
      </c>
      <c r="C10" s="7">
        <v>0</v>
      </c>
      <c r="D10" s="36">
        <v>70</v>
      </c>
      <c r="E10" s="36" t="s">
        <v>179</v>
      </c>
      <c r="F10" s="26">
        <f t="shared" si="0"/>
        <v>0</v>
      </c>
      <c r="G10" s="7"/>
      <c r="H10" s="26">
        <v>0</v>
      </c>
      <c r="I10" s="26">
        <v>0</v>
      </c>
    </row>
    <row r="11" spans="1:13" ht="24.95" customHeight="1" x14ac:dyDescent="0.25">
      <c r="A11" s="11" t="s">
        <v>410</v>
      </c>
      <c r="B11" s="8" t="s">
        <v>687</v>
      </c>
      <c r="C11" s="7">
        <v>0</v>
      </c>
      <c r="D11" s="36">
        <v>90</v>
      </c>
      <c r="E11" s="36" t="s">
        <v>179</v>
      </c>
      <c r="F11" s="26">
        <f t="shared" si="0"/>
        <v>0</v>
      </c>
      <c r="G11" s="7"/>
      <c r="H11" s="26">
        <v>0</v>
      </c>
      <c r="I11" s="26">
        <v>0</v>
      </c>
    </row>
    <row r="12" spans="1:13" ht="24.95" customHeight="1" x14ac:dyDescent="0.25">
      <c r="A12" s="11" t="s">
        <v>411</v>
      </c>
      <c r="B12" s="8" t="s">
        <v>688</v>
      </c>
      <c r="C12" s="7">
        <v>0</v>
      </c>
      <c r="D12" s="36">
        <v>90</v>
      </c>
      <c r="E12" s="36" t="s">
        <v>179</v>
      </c>
      <c r="F12" s="26">
        <f t="shared" si="0"/>
        <v>0</v>
      </c>
      <c r="G12" s="7"/>
      <c r="H12" s="26">
        <v>0</v>
      </c>
      <c r="I12" s="26">
        <v>0</v>
      </c>
    </row>
    <row r="13" spans="1:13" ht="24.95" customHeight="1" x14ac:dyDescent="0.25">
      <c r="A13" s="11" t="s">
        <v>412</v>
      </c>
      <c r="B13" s="8" t="s">
        <v>653</v>
      </c>
      <c r="C13" s="7">
        <v>0</v>
      </c>
      <c r="D13" s="36">
        <v>20</v>
      </c>
      <c r="E13" s="36" t="s">
        <v>179</v>
      </c>
      <c r="F13" s="26">
        <f t="shared" si="0"/>
        <v>0</v>
      </c>
      <c r="G13" s="7"/>
      <c r="H13" s="26">
        <v>0</v>
      </c>
      <c r="I13" s="26">
        <v>0</v>
      </c>
    </row>
    <row r="14" spans="1:13" ht="24.95" customHeight="1" x14ac:dyDescent="0.25">
      <c r="A14" s="11" t="s">
        <v>413</v>
      </c>
      <c r="B14" s="8" t="s">
        <v>194</v>
      </c>
      <c r="C14" s="7">
        <v>0</v>
      </c>
      <c r="D14" s="36">
        <v>30</v>
      </c>
      <c r="E14" s="36" t="s">
        <v>2</v>
      </c>
      <c r="F14" s="26">
        <f t="shared" si="0"/>
        <v>0</v>
      </c>
      <c r="G14" s="7"/>
      <c r="H14" s="26">
        <v>0</v>
      </c>
      <c r="I14" s="26">
        <v>0</v>
      </c>
    </row>
    <row r="15" spans="1:13" ht="24.95" customHeight="1" x14ac:dyDescent="0.25">
      <c r="A15" s="11" t="s">
        <v>414</v>
      </c>
      <c r="B15" s="8" t="s">
        <v>182</v>
      </c>
      <c r="C15" s="7">
        <v>0</v>
      </c>
      <c r="D15" s="36">
        <v>80</v>
      </c>
      <c r="E15" s="36" t="s">
        <v>2</v>
      </c>
      <c r="F15" s="26">
        <f t="shared" si="0"/>
        <v>0</v>
      </c>
      <c r="G15" s="7"/>
      <c r="H15" s="26">
        <v>0</v>
      </c>
      <c r="I15" s="26">
        <v>0</v>
      </c>
    </row>
    <row r="16" spans="1:13" ht="24.95" customHeight="1" x14ac:dyDescent="0.25">
      <c r="A16" s="11" t="s">
        <v>415</v>
      </c>
      <c r="B16" s="8" t="s">
        <v>167</v>
      </c>
      <c r="C16" s="7">
        <v>0</v>
      </c>
      <c r="D16" s="36">
        <v>50</v>
      </c>
      <c r="E16" s="36" t="s">
        <v>2</v>
      </c>
      <c r="F16" s="26">
        <f t="shared" si="0"/>
        <v>0</v>
      </c>
      <c r="G16" s="7"/>
      <c r="H16" s="26">
        <v>0</v>
      </c>
      <c r="I16" s="26">
        <v>0</v>
      </c>
    </row>
    <row r="17" spans="1:9" ht="24.95" customHeight="1" x14ac:dyDescent="0.25">
      <c r="A17" s="11" t="s">
        <v>416</v>
      </c>
      <c r="B17" s="8" t="s">
        <v>195</v>
      </c>
      <c r="C17" s="7">
        <v>0</v>
      </c>
      <c r="D17" s="36">
        <v>70</v>
      </c>
      <c r="E17" s="36" t="s">
        <v>2</v>
      </c>
      <c r="F17" s="26">
        <f t="shared" si="0"/>
        <v>0</v>
      </c>
      <c r="G17" s="7"/>
      <c r="H17" s="26">
        <v>0</v>
      </c>
      <c r="I17" s="26">
        <v>0</v>
      </c>
    </row>
    <row r="18" spans="1:9" ht="24.95" customHeight="1" x14ac:dyDescent="0.25">
      <c r="A18" s="11" t="s">
        <v>417</v>
      </c>
      <c r="B18" s="8" t="s">
        <v>181</v>
      </c>
      <c r="C18" s="7">
        <v>0</v>
      </c>
      <c r="D18" s="36">
        <v>40</v>
      </c>
      <c r="E18" s="36" t="s">
        <v>2</v>
      </c>
      <c r="F18" s="26">
        <f t="shared" si="0"/>
        <v>0</v>
      </c>
      <c r="G18" s="7"/>
      <c r="H18" s="26">
        <v>0</v>
      </c>
      <c r="I18" s="26">
        <v>0</v>
      </c>
    </row>
    <row r="19" spans="1:9" ht="24.95" customHeight="1" x14ac:dyDescent="0.25">
      <c r="A19" s="11" t="s">
        <v>418</v>
      </c>
      <c r="B19" s="8" t="s">
        <v>196</v>
      </c>
      <c r="C19" s="7">
        <v>0</v>
      </c>
      <c r="D19" s="36">
        <v>70</v>
      </c>
      <c r="E19" s="36" t="s">
        <v>2</v>
      </c>
      <c r="F19" s="26">
        <f t="shared" si="0"/>
        <v>0</v>
      </c>
      <c r="G19" s="7"/>
      <c r="H19" s="26">
        <v>0</v>
      </c>
      <c r="I19" s="26">
        <v>0</v>
      </c>
    </row>
    <row r="20" spans="1:9" ht="24.95" customHeight="1" x14ac:dyDescent="0.25">
      <c r="A20" s="11" t="s">
        <v>419</v>
      </c>
      <c r="B20" s="8" t="s">
        <v>157</v>
      </c>
      <c r="C20" s="7">
        <v>0</v>
      </c>
      <c r="D20" s="8">
        <v>150</v>
      </c>
      <c r="E20" s="36" t="s">
        <v>2</v>
      </c>
      <c r="F20" s="26">
        <f t="shared" si="0"/>
        <v>0</v>
      </c>
      <c r="G20" s="7"/>
      <c r="H20" s="26">
        <v>0</v>
      </c>
      <c r="I20" s="26">
        <v>0</v>
      </c>
    </row>
    <row r="21" spans="1:9" ht="24.95" customHeight="1" x14ac:dyDescent="0.25">
      <c r="A21" s="11" t="s">
        <v>420</v>
      </c>
      <c r="B21" s="8" t="s">
        <v>159</v>
      </c>
      <c r="C21" s="7">
        <v>0</v>
      </c>
      <c r="D21" s="36">
        <v>100</v>
      </c>
      <c r="E21" s="36" t="s">
        <v>2</v>
      </c>
      <c r="F21" s="26">
        <f t="shared" si="0"/>
        <v>0</v>
      </c>
      <c r="G21" s="7"/>
      <c r="H21" s="26">
        <v>0</v>
      </c>
      <c r="I21" s="26">
        <v>0</v>
      </c>
    </row>
    <row r="22" spans="1:9" ht="24.95" customHeight="1" x14ac:dyDescent="0.25">
      <c r="A22" s="11" t="s">
        <v>421</v>
      </c>
      <c r="B22" s="8" t="s">
        <v>171</v>
      </c>
      <c r="C22" s="7">
        <v>0</v>
      </c>
      <c r="D22" s="36">
        <v>100</v>
      </c>
      <c r="E22" s="36" t="s">
        <v>2</v>
      </c>
      <c r="F22" s="26">
        <f t="shared" si="0"/>
        <v>0</v>
      </c>
      <c r="G22" s="7"/>
      <c r="H22" s="26">
        <v>0</v>
      </c>
      <c r="I22" s="26">
        <v>0</v>
      </c>
    </row>
    <row r="23" spans="1:9" ht="24.95" customHeight="1" x14ac:dyDescent="0.25">
      <c r="A23" s="11" t="s">
        <v>422</v>
      </c>
      <c r="B23" s="8" t="s">
        <v>661</v>
      </c>
      <c r="C23" s="7">
        <v>0</v>
      </c>
      <c r="D23" s="36">
        <v>300</v>
      </c>
      <c r="E23" s="36" t="s">
        <v>2</v>
      </c>
      <c r="F23" s="26">
        <f t="shared" si="0"/>
        <v>0</v>
      </c>
      <c r="G23" s="7"/>
      <c r="H23" s="26">
        <v>0</v>
      </c>
      <c r="I23" s="26">
        <v>0</v>
      </c>
    </row>
    <row r="24" spans="1:9" ht="24.95" customHeight="1" x14ac:dyDescent="0.25">
      <c r="A24" s="11" t="s">
        <v>423</v>
      </c>
      <c r="B24" s="8" t="s">
        <v>175</v>
      </c>
      <c r="C24" s="7">
        <v>0</v>
      </c>
      <c r="D24" s="36">
        <v>30</v>
      </c>
      <c r="E24" s="36" t="s">
        <v>2</v>
      </c>
      <c r="F24" s="26">
        <f t="shared" si="0"/>
        <v>0</v>
      </c>
      <c r="G24" s="7"/>
      <c r="H24" s="26">
        <v>0</v>
      </c>
      <c r="I24" s="26">
        <v>0</v>
      </c>
    </row>
    <row r="25" spans="1:9" ht="24.95" customHeight="1" x14ac:dyDescent="0.25">
      <c r="A25" s="11" t="s">
        <v>424</v>
      </c>
      <c r="B25" s="8" t="s">
        <v>163</v>
      </c>
      <c r="C25" s="7">
        <v>0</v>
      </c>
      <c r="D25" s="36">
        <v>80</v>
      </c>
      <c r="E25" s="36" t="s">
        <v>2</v>
      </c>
      <c r="F25" s="26">
        <f t="shared" si="0"/>
        <v>0</v>
      </c>
      <c r="G25" s="7"/>
      <c r="H25" s="26">
        <v>0</v>
      </c>
      <c r="I25" s="26">
        <v>0</v>
      </c>
    </row>
    <row r="26" spans="1:9" ht="24.95" customHeight="1" x14ac:dyDescent="0.25">
      <c r="A26" s="11" t="s">
        <v>425</v>
      </c>
      <c r="B26" s="8" t="s">
        <v>160</v>
      </c>
      <c r="C26" s="7">
        <v>0</v>
      </c>
      <c r="D26" s="36">
        <v>120</v>
      </c>
      <c r="E26" s="36" t="s">
        <v>2</v>
      </c>
      <c r="F26" s="26">
        <f t="shared" si="0"/>
        <v>0</v>
      </c>
      <c r="G26" s="7"/>
      <c r="H26" s="26">
        <v>0</v>
      </c>
      <c r="I26" s="26">
        <v>0</v>
      </c>
    </row>
    <row r="27" spans="1:9" ht="24.95" customHeight="1" x14ac:dyDescent="0.25">
      <c r="A27" s="11" t="s">
        <v>426</v>
      </c>
      <c r="B27" s="8" t="s">
        <v>176</v>
      </c>
      <c r="C27" s="7">
        <v>0</v>
      </c>
      <c r="D27" s="36">
        <v>50</v>
      </c>
      <c r="E27" s="36" t="s">
        <v>2</v>
      </c>
      <c r="F27" s="26">
        <f t="shared" si="0"/>
        <v>0</v>
      </c>
      <c r="G27" s="7"/>
      <c r="H27" s="26">
        <v>0</v>
      </c>
      <c r="I27" s="26">
        <v>0</v>
      </c>
    </row>
    <row r="28" spans="1:9" ht="24.95" customHeight="1" x14ac:dyDescent="0.25">
      <c r="A28" s="11" t="s">
        <v>427</v>
      </c>
      <c r="B28" s="8" t="s">
        <v>193</v>
      </c>
      <c r="C28" s="7">
        <v>0</v>
      </c>
      <c r="D28" s="36">
        <v>10</v>
      </c>
      <c r="E28" s="36" t="s">
        <v>2</v>
      </c>
      <c r="F28" s="26">
        <f t="shared" si="0"/>
        <v>0</v>
      </c>
      <c r="G28" s="7"/>
      <c r="H28" s="26">
        <v>0</v>
      </c>
      <c r="I28" s="26">
        <v>0</v>
      </c>
    </row>
    <row r="29" spans="1:9" ht="24.95" customHeight="1" x14ac:dyDescent="0.25">
      <c r="A29" s="11" t="s">
        <v>428</v>
      </c>
      <c r="B29" s="8" t="s">
        <v>164</v>
      </c>
      <c r="C29" s="7">
        <v>0</v>
      </c>
      <c r="D29" s="36">
        <v>15</v>
      </c>
      <c r="E29" s="36" t="s">
        <v>2</v>
      </c>
      <c r="F29" s="26">
        <f t="shared" si="0"/>
        <v>0</v>
      </c>
      <c r="G29" s="7"/>
      <c r="H29" s="26">
        <v>0</v>
      </c>
      <c r="I29" s="26">
        <v>0</v>
      </c>
    </row>
    <row r="30" spans="1:9" ht="24.95" customHeight="1" x14ac:dyDescent="0.25">
      <c r="A30" s="11" t="s">
        <v>429</v>
      </c>
      <c r="B30" s="8" t="s">
        <v>177</v>
      </c>
      <c r="C30" s="7">
        <v>0</v>
      </c>
      <c r="D30" s="36">
        <v>35</v>
      </c>
      <c r="E30" s="36" t="s">
        <v>2</v>
      </c>
      <c r="F30" s="26">
        <f t="shared" si="0"/>
        <v>0</v>
      </c>
      <c r="G30" s="7"/>
      <c r="H30" s="26">
        <v>0</v>
      </c>
      <c r="I30" s="26">
        <v>0</v>
      </c>
    </row>
    <row r="31" spans="1:9" ht="24.95" customHeight="1" x14ac:dyDescent="0.25">
      <c r="A31" s="11" t="s">
        <v>430</v>
      </c>
      <c r="B31" s="8" t="s">
        <v>158</v>
      </c>
      <c r="C31" s="7">
        <v>0</v>
      </c>
      <c r="D31" s="36">
        <v>70</v>
      </c>
      <c r="E31" s="36" t="s">
        <v>2</v>
      </c>
      <c r="F31" s="26">
        <f t="shared" si="0"/>
        <v>0</v>
      </c>
      <c r="G31" s="7"/>
      <c r="H31" s="26">
        <v>0</v>
      </c>
      <c r="I31" s="26">
        <v>0</v>
      </c>
    </row>
    <row r="32" spans="1:9" ht="24.95" customHeight="1" x14ac:dyDescent="0.25">
      <c r="A32" s="11" t="s">
        <v>431</v>
      </c>
      <c r="B32" s="8" t="s">
        <v>184</v>
      </c>
      <c r="C32" s="7">
        <v>0</v>
      </c>
      <c r="D32" s="36">
        <v>50</v>
      </c>
      <c r="E32" s="36" t="s">
        <v>2</v>
      </c>
      <c r="F32" s="26">
        <f t="shared" si="0"/>
        <v>0</v>
      </c>
      <c r="G32" s="7"/>
      <c r="H32" s="26">
        <v>0</v>
      </c>
      <c r="I32" s="26">
        <v>0</v>
      </c>
    </row>
    <row r="33" spans="1:9" ht="24.95" customHeight="1" x14ac:dyDescent="0.25">
      <c r="A33" s="11" t="s">
        <v>432</v>
      </c>
      <c r="B33" s="8" t="s">
        <v>185</v>
      </c>
      <c r="C33" s="7">
        <v>0</v>
      </c>
      <c r="D33" s="36">
        <v>10</v>
      </c>
      <c r="E33" s="36" t="s">
        <v>2</v>
      </c>
      <c r="F33" s="26">
        <f t="shared" si="0"/>
        <v>0</v>
      </c>
      <c r="G33" s="7"/>
      <c r="H33" s="26">
        <v>0</v>
      </c>
      <c r="I33" s="26">
        <v>0</v>
      </c>
    </row>
    <row r="34" spans="1:9" s="34" customFormat="1" ht="24.95" customHeight="1" x14ac:dyDescent="0.25">
      <c r="A34" s="11" t="s">
        <v>433</v>
      </c>
      <c r="B34" s="8" t="s">
        <v>186</v>
      </c>
      <c r="C34" s="7">
        <v>0</v>
      </c>
      <c r="D34" s="36">
        <v>10</v>
      </c>
      <c r="E34" s="36" t="s">
        <v>2</v>
      </c>
      <c r="F34" s="26">
        <f t="shared" si="0"/>
        <v>0</v>
      </c>
      <c r="G34" s="7"/>
      <c r="H34" s="26">
        <v>0</v>
      </c>
      <c r="I34" s="26">
        <v>0</v>
      </c>
    </row>
    <row r="35" spans="1:9" ht="24.95" customHeight="1" x14ac:dyDescent="0.25">
      <c r="A35" s="11" t="s">
        <v>434</v>
      </c>
      <c r="B35" s="8" t="s">
        <v>190</v>
      </c>
      <c r="C35" s="7">
        <v>0</v>
      </c>
      <c r="D35" s="36">
        <v>30</v>
      </c>
      <c r="E35" s="36" t="s">
        <v>2</v>
      </c>
      <c r="F35" s="26">
        <f t="shared" si="0"/>
        <v>0</v>
      </c>
      <c r="G35" s="7"/>
      <c r="H35" s="26">
        <v>0</v>
      </c>
      <c r="I35" s="26">
        <v>0</v>
      </c>
    </row>
    <row r="36" spans="1:9" ht="24.95" customHeight="1" x14ac:dyDescent="0.25">
      <c r="A36" s="11" t="s">
        <v>435</v>
      </c>
      <c r="B36" s="8" t="s">
        <v>191</v>
      </c>
      <c r="C36" s="7">
        <v>0</v>
      </c>
      <c r="D36" s="36">
        <v>25</v>
      </c>
      <c r="E36" s="36" t="s">
        <v>2</v>
      </c>
      <c r="F36" s="26">
        <f t="shared" si="0"/>
        <v>0</v>
      </c>
      <c r="G36" s="7"/>
      <c r="H36" s="26">
        <v>0</v>
      </c>
      <c r="I36" s="26">
        <v>0</v>
      </c>
    </row>
    <row r="37" spans="1:9" s="34" customFormat="1" ht="24.95" customHeight="1" x14ac:dyDescent="0.25">
      <c r="A37" s="11" t="s">
        <v>436</v>
      </c>
      <c r="B37" s="8" t="s">
        <v>192</v>
      </c>
      <c r="C37" s="7">
        <v>0</v>
      </c>
      <c r="D37" s="36">
        <v>25</v>
      </c>
      <c r="E37" s="36" t="s">
        <v>2</v>
      </c>
      <c r="F37" s="26">
        <f t="shared" si="0"/>
        <v>0</v>
      </c>
      <c r="G37" s="7"/>
      <c r="H37" s="26">
        <v>0</v>
      </c>
      <c r="I37" s="26">
        <v>0</v>
      </c>
    </row>
    <row r="38" spans="1:9" ht="24.95" customHeight="1" x14ac:dyDescent="0.25">
      <c r="A38" s="11" t="s">
        <v>437</v>
      </c>
      <c r="B38" s="8" t="s">
        <v>188</v>
      </c>
      <c r="C38" s="7">
        <v>0</v>
      </c>
      <c r="D38" s="36">
        <v>25</v>
      </c>
      <c r="E38" s="39" t="s">
        <v>2</v>
      </c>
      <c r="F38" s="26">
        <f t="shared" si="0"/>
        <v>0</v>
      </c>
      <c r="G38" s="7"/>
      <c r="H38" s="26">
        <v>0</v>
      </c>
      <c r="I38" s="26">
        <v>0</v>
      </c>
    </row>
    <row r="39" spans="1:9" ht="24.95" customHeight="1" x14ac:dyDescent="0.25">
      <c r="A39" s="11" t="s">
        <v>438</v>
      </c>
      <c r="B39" s="8" t="s">
        <v>189</v>
      </c>
      <c r="C39" s="7">
        <v>0</v>
      </c>
      <c r="D39" s="36">
        <v>25</v>
      </c>
      <c r="E39" s="39" t="s">
        <v>2</v>
      </c>
      <c r="F39" s="26">
        <f t="shared" si="0"/>
        <v>0</v>
      </c>
      <c r="G39" s="7"/>
      <c r="H39" s="26">
        <v>0</v>
      </c>
      <c r="I39" s="26">
        <v>0</v>
      </c>
    </row>
    <row r="40" spans="1:9" ht="24.95" customHeight="1" x14ac:dyDescent="0.25">
      <c r="A40" s="11" t="s">
        <v>439</v>
      </c>
      <c r="B40" s="8" t="s">
        <v>187</v>
      </c>
      <c r="C40" s="7">
        <v>0</v>
      </c>
      <c r="D40" s="8">
        <v>35</v>
      </c>
      <c r="E40" s="36" t="s">
        <v>2</v>
      </c>
      <c r="F40" s="26">
        <f t="shared" si="0"/>
        <v>0</v>
      </c>
      <c r="G40" s="7"/>
      <c r="H40" s="26">
        <v>0</v>
      </c>
      <c r="I40" s="26">
        <v>0</v>
      </c>
    </row>
    <row r="41" spans="1:9" ht="24.95" customHeight="1" x14ac:dyDescent="0.25">
      <c r="A41" s="11" t="s">
        <v>684</v>
      </c>
      <c r="B41" s="8" t="s">
        <v>662</v>
      </c>
      <c r="C41" s="7">
        <v>0</v>
      </c>
      <c r="D41" s="8">
        <v>1200</v>
      </c>
      <c r="E41" s="36" t="s">
        <v>179</v>
      </c>
      <c r="F41" s="26">
        <f t="shared" si="0"/>
        <v>0</v>
      </c>
      <c r="G41" s="7"/>
      <c r="H41" s="26">
        <v>0</v>
      </c>
      <c r="I41" s="26">
        <v>0</v>
      </c>
    </row>
    <row r="42" spans="1:9" ht="24.95" customHeight="1" x14ac:dyDescent="0.25">
      <c r="A42" s="11" t="s">
        <v>686</v>
      </c>
      <c r="B42" s="8" t="s">
        <v>663</v>
      </c>
      <c r="C42" s="7">
        <v>0</v>
      </c>
      <c r="D42" s="8">
        <v>600</v>
      </c>
      <c r="E42" s="36" t="s">
        <v>179</v>
      </c>
      <c r="F42" s="26">
        <f t="shared" si="0"/>
        <v>0</v>
      </c>
      <c r="G42" s="41"/>
      <c r="H42" s="42">
        <v>0</v>
      </c>
      <c r="I42" s="42">
        <v>0</v>
      </c>
    </row>
    <row r="43" spans="1:9" x14ac:dyDescent="0.25">
      <c r="B43" s="51" t="s">
        <v>256</v>
      </c>
      <c r="C43" s="51"/>
      <c r="D43" s="51"/>
      <c r="E43" s="51"/>
      <c r="F43" s="40">
        <f>+SUM(F7:F42)</f>
        <v>0</v>
      </c>
      <c r="G43" s="45"/>
      <c r="H43" s="46"/>
      <c r="I43" s="46"/>
    </row>
    <row r="44" spans="1:9" x14ac:dyDescent="0.25">
      <c r="B44" s="51" t="s">
        <v>258</v>
      </c>
      <c r="C44" s="51"/>
      <c r="D44" s="51"/>
      <c r="E44" s="51"/>
      <c r="F44" s="40">
        <f>+F43*0.055</f>
        <v>0</v>
      </c>
      <c r="G44" s="43"/>
      <c r="H44" s="44"/>
      <c r="I44" s="44"/>
    </row>
    <row r="45" spans="1:9" x14ac:dyDescent="0.25">
      <c r="B45" s="51" t="s">
        <v>257</v>
      </c>
      <c r="C45" s="51"/>
      <c r="D45" s="51"/>
      <c r="E45" s="51"/>
      <c r="F45" s="40">
        <f>+F43+F44</f>
        <v>0</v>
      </c>
      <c r="G45" s="43"/>
      <c r="H45" s="44"/>
      <c r="I45" s="44"/>
    </row>
    <row r="46" spans="1:9" x14ac:dyDescent="0.25">
      <c r="G46" s="43"/>
      <c r="H46" s="44"/>
      <c r="I46" s="44"/>
    </row>
    <row r="47" spans="1:9" x14ac:dyDescent="0.25">
      <c r="B47" s="37" t="s">
        <v>266</v>
      </c>
      <c r="C47" s="37" t="s">
        <v>261</v>
      </c>
      <c r="D47" s="37" t="s">
        <v>262</v>
      </c>
      <c r="E47" s="37" t="s">
        <v>263</v>
      </c>
      <c r="F47" s="47" t="s">
        <v>264</v>
      </c>
      <c r="G47" s="20" t="s">
        <v>265</v>
      </c>
      <c r="H47" s="44"/>
      <c r="I47" s="44"/>
    </row>
    <row r="48" spans="1:9" x14ac:dyDescent="0.25">
      <c r="B48" s="37" t="s">
        <v>260</v>
      </c>
      <c r="C48" s="38" t="s">
        <v>261</v>
      </c>
      <c r="D48" s="38" t="s">
        <v>262</v>
      </c>
      <c r="E48" s="38" t="s">
        <v>263</v>
      </c>
      <c r="F48" s="48" t="s">
        <v>264</v>
      </c>
      <c r="G48" s="20" t="s">
        <v>265</v>
      </c>
      <c r="H48" s="44"/>
      <c r="I48" s="44"/>
    </row>
  </sheetData>
  <mergeCells count="5">
    <mergeCell ref="B43:E43"/>
    <mergeCell ref="B44:E44"/>
    <mergeCell ref="B45:E45"/>
    <mergeCell ref="A2:F2"/>
    <mergeCell ref="A4:F4"/>
  </mergeCells>
  <phoneticPr fontId="3" type="noConversion"/>
  <pageMargins left="0.7" right="0.7" top="0.75" bottom="0.75" header="0.3" footer="0.3"/>
  <pageSetup paperSize="9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AAC0-954C-46F3-84F6-BFFADA9EABA6}">
  <dimension ref="A1:M42"/>
  <sheetViews>
    <sheetView zoomScale="110" zoomScaleNormal="110" workbookViewId="0">
      <selection activeCell="G6" sqref="G6:I7"/>
    </sheetView>
  </sheetViews>
  <sheetFormatPr baseColWidth="10" defaultColWidth="11.42578125" defaultRowHeight="15" x14ac:dyDescent="0.25"/>
  <cols>
    <col min="1" max="1" width="5.7109375" style="1" customWidth="1"/>
    <col min="2" max="2" width="32" style="1" bestFit="1" customWidth="1"/>
    <col min="3" max="3" width="15.28515625" style="1" customWidth="1"/>
    <col min="4" max="4" width="18.42578125" style="1" customWidth="1"/>
    <col min="5" max="5" width="11.42578125" style="1"/>
    <col min="6" max="6" width="22.85546875" style="1" customWidth="1"/>
    <col min="7" max="7" width="22.7109375" style="1" customWidth="1"/>
    <col min="8" max="8" width="22.42578125" style="1" bestFit="1" customWidth="1"/>
    <col min="9" max="9" width="14.140625" style="1" customWidth="1"/>
    <col min="10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644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45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  <c r="G6" s="3" t="s">
        <v>701</v>
      </c>
      <c r="H6" s="3" t="s">
        <v>702</v>
      </c>
      <c r="I6" s="3" t="s">
        <v>703</v>
      </c>
    </row>
    <row r="7" spans="1:13" ht="24.95" customHeight="1" x14ac:dyDescent="0.25">
      <c r="A7" s="11" t="s">
        <v>376</v>
      </c>
      <c r="B7" s="8" t="s">
        <v>161</v>
      </c>
      <c r="C7" s="7">
        <v>0</v>
      </c>
      <c r="D7" s="8">
        <v>60</v>
      </c>
      <c r="E7" s="36" t="s">
        <v>2</v>
      </c>
      <c r="F7" s="26">
        <f>+C7*D7</f>
        <v>0</v>
      </c>
      <c r="G7" s="7"/>
      <c r="H7" s="26">
        <v>0</v>
      </c>
      <c r="I7" s="26">
        <v>0</v>
      </c>
    </row>
    <row r="8" spans="1:13" ht="24.95" customHeight="1" x14ac:dyDescent="0.25">
      <c r="A8" s="11" t="s">
        <v>377</v>
      </c>
      <c r="B8" s="8" t="s">
        <v>651</v>
      </c>
      <c r="C8" s="7">
        <v>0</v>
      </c>
      <c r="D8" s="8">
        <v>30</v>
      </c>
      <c r="E8" s="36" t="s">
        <v>2</v>
      </c>
      <c r="F8" s="26">
        <f t="shared" ref="F8:F36" si="0">+C8*D8</f>
        <v>0</v>
      </c>
      <c r="G8" s="7"/>
      <c r="H8" s="26">
        <v>0</v>
      </c>
      <c r="I8" s="26">
        <v>0</v>
      </c>
    </row>
    <row r="9" spans="1:13" ht="24.95" customHeight="1" x14ac:dyDescent="0.25">
      <c r="A9" s="11" t="s">
        <v>378</v>
      </c>
      <c r="B9" s="8" t="s">
        <v>652</v>
      </c>
      <c r="C9" s="7">
        <v>0</v>
      </c>
      <c r="D9" s="8">
        <v>50</v>
      </c>
      <c r="E9" s="36" t="s">
        <v>2</v>
      </c>
      <c r="F9" s="26">
        <f t="shared" si="0"/>
        <v>0</v>
      </c>
      <c r="G9" s="7"/>
      <c r="H9" s="26">
        <v>0</v>
      </c>
      <c r="I9" s="26">
        <v>0</v>
      </c>
    </row>
    <row r="10" spans="1:13" ht="24.95" customHeight="1" x14ac:dyDescent="0.25">
      <c r="A10" s="11" t="s">
        <v>379</v>
      </c>
      <c r="B10" s="8" t="s">
        <v>653</v>
      </c>
      <c r="C10" s="7">
        <v>0</v>
      </c>
      <c r="D10" s="8">
        <v>80</v>
      </c>
      <c r="E10" s="36" t="s">
        <v>2</v>
      </c>
      <c r="F10" s="26">
        <f t="shared" si="0"/>
        <v>0</v>
      </c>
      <c r="G10" s="7"/>
      <c r="H10" s="26">
        <v>0</v>
      </c>
      <c r="I10" s="26">
        <v>0</v>
      </c>
    </row>
    <row r="11" spans="1:13" ht="24.95" customHeight="1" x14ac:dyDescent="0.25">
      <c r="A11" s="11" t="s">
        <v>380</v>
      </c>
      <c r="B11" s="8" t="s">
        <v>654</v>
      </c>
      <c r="C11" s="7">
        <v>0</v>
      </c>
      <c r="D11" s="8">
        <v>30</v>
      </c>
      <c r="E11" s="36" t="s">
        <v>2</v>
      </c>
      <c r="F11" s="26">
        <f t="shared" si="0"/>
        <v>0</v>
      </c>
      <c r="G11" s="7"/>
      <c r="H11" s="26">
        <v>0</v>
      </c>
      <c r="I11" s="26">
        <v>0</v>
      </c>
    </row>
    <row r="12" spans="1:13" ht="24.95" customHeight="1" x14ac:dyDescent="0.25">
      <c r="A12" s="11" t="s">
        <v>381</v>
      </c>
      <c r="B12" s="8" t="s">
        <v>655</v>
      </c>
      <c r="C12" s="7">
        <v>0</v>
      </c>
      <c r="D12" s="8">
        <v>40</v>
      </c>
      <c r="E12" s="36" t="s">
        <v>2</v>
      </c>
      <c r="F12" s="26">
        <f t="shared" si="0"/>
        <v>0</v>
      </c>
      <c r="G12" s="7"/>
      <c r="H12" s="26">
        <v>0</v>
      </c>
      <c r="I12" s="26">
        <v>0</v>
      </c>
    </row>
    <row r="13" spans="1:13" ht="24.95" customHeight="1" x14ac:dyDescent="0.25">
      <c r="A13" s="11" t="s">
        <v>382</v>
      </c>
      <c r="B13" s="8" t="s">
        <v>656</v>
      </c>
      <c r="C13" s="7">
        <v>0</v>
      </c>
      <c r="D13" s="8">
        <v>60</v>
      </c>
      <c r="E13" s="36" t="s">
        <v>2</v>
      </c>
      <c r="F13" s="26">
        <f t="shared" si="0"/>
        <v>0</v>
      </c>
      <c r="G13" s="7"/>
      <c r="H13" s="26">
        <v>0</v>
      </c>
      <c r="I13" s="26">
        <v>0</v>
      </c>
    </row>
    <row r="14" spans="1:13" ht="24.95" customHeight="1" x14ac:dyDescent="0.25">
      <c r="A14" s="11" t="s">
        <v>383</v>
      </c>
      <c r="B14" s="8" t="s">
        <v>173</v>
      </c>
      <c r="C14" s="7">
        <v>0</v>
      </c>
      <c r="D14" s="8">
        <v>50</v>
      </c>
      <c r="E14" s="36" t="s">
        <v>2</v>
      </c>
      <c r="F14" s="26">
        <f t="shared" si="0"/>
        <v>0</v>
      </c>
      <c r="G14" s="7"/>
      <c r="H14" s="26">
        <v>0</v>
      </c>
      <c r="I14" s="26">
        <v>0</v>
      </c>
    </row>
    <row r="15" spans="1:13" ht="24.95" customHeight="1" x14ac:dyDescent="0.25">
      <c r="A15" s="11" t="s">
        <v>384</v>
      </c>
      <c r="B15" s="8" t="s">
        <v>180</v>
      </c>
      <c r="C15" s="7">
        <v>0</v>
      </c>
      <c r="D15" s="8">
        <v>40</v>
      </c>
      <c r="E15" s="36" t="s">
        <v>2</v>
      </c>
      <c r="F15" s="26">
        <f t="shared" si="0"/>
        <v>0</v>
      </c>
      <c r="G15" s="7"/>
      <c r="H15" s="26">
        <v>0</v>
      </c>
      <c r="I15" s="26">
        <v>0</v>
      </c>
    </row>
    <row r="16" spans="1:13" ht="24.95" customHeight="1" x14ac:dyDescent="0.25">
      <c r="A16" s="11" t="s">
        <v>385</v>
      </c>
      <c r="B16" s="8" t="s">
        <v>172</v>
      </c>
      <c r="C16" s="7">
        <v>0</v>
      </c>
      <c r="D16" s="8">
        <v>45</v>
      </c>
      <c r="E16" s="36" t="s">
        <v>2</v>
      </c>
      <c r="F16" s="26">
        <f t="shared" si="0"/>
        <v>0</v>
      </c>
      <c r="G16" s="7"/>
      <c r="H16" s="26">
        <v>0</v>
      </c>
      <c r="I16" s="26">
        <v>0</v>
      </c>
    </row>
    <row r="17" spans="1:9" ht="24.95" customHeight="1" x14ac:dyDescent="0.25">
      <c r="A17" s="11" t="s">
        <v>386</v>
      </c>
      <c r="B17" s="8" t="s">
        <v>174</v>
      </c>
      <c r="C17" s="7">
        <v>0</v>
      </c>
      <c r="D17" s="8">
        <v>30</v>
      </c>
      <c r="E17" s="36" t="s">
        <v>2</v>
      </c>
      <c r="F17" s="26">
        <f t="shared" si="0"/>
        <v>0</v>
      </c>
      <c r="G17" s="7"/>
      <c r="H17" s="26">
        <v>0</v>
      </c>
      <c r="I17" s="26">
        <v>0</v>
      </c>
    </row>
    <row r="18" spans="1:9" ht="24.95" customHeight="1" x14ac:dyDescent="0.25">
      <c r="A18" s="11" t="s">
        <v>387</v>
      </c>
      <c r="B18" s="8" t="s">
        <v>169</v>
      </c>
      <c r="C18" s="7">
        <v>0</v>
      </c>
      <c r="D18" s="8">
        <v>15</v>
      </c>
      <c r="E18" s="36" t="s">
        <v>2</v>
      </c>
      <c r="F18" s="26">
        <f t="shared" si="0"/>
        <v>0</v>
      </c>
      <c r="G18" s="7"/>
      <c r="H18" s="26">
        <v>0</v>
      </c>
      <c r="I18" s="26">
        <v>0</v>
      </c>
    </row>
    <row r="19" spans="1:9" ht="24.95" customHeight="1" x14ac:dyDescent="0.25">
      <c r="A19" s="11" t="s">
        <v>388</v>
      </c>
      <c r="B19" s="8" t="s">
        <v>157</v>
      </c>
      <c r="C19" s="7">
        <v>0</v>
      </c>
      <c r="D19" s="8">
        <v>500</v>
      </c>
      <c r="E19" s="36" t="s">
        <v>2</v>
      </c>
      <c r="F19" s="26">
        <f t="shared" si="0"/>
        <v>0</v>
      </c>
      <c r="G19" s="7"/>
      <c r="H19" s="26">
        <v>0</v>
      </c>
      <c r="I19" s="26">
        <v>0</v>
      </c>
    </row>
    <row r="20" spans="1:9" ht="24.95" customHeight="1" x14ac:dyDescent="0.25">
      <c r="A20" s="11" t="s">
        <v>389</v>
      </c>
      <c r="B20" s="8" t="s">
        <v>657</v>
      </c>
      <c r="C20" s="7">
        <v>0</v>
      </c>
      <c r="D20" s="8">
        <v>80</v>
      </c>
      <c r="E20" s="36" t="s">
        <v>2</v>
      </c>
      <c r="F20" s="26">
        <f t="shared" si="0"/>
        <v>0</v>
      </c>
      <c r="G20" s="7"/>
      <c r="H20" s="26">
        <v>0</v>
      </c>
      <c r="I20" s="26">
        <v>0</v>
      </c>
    </row>
    <row r="21" spans="1:9" ht="24.95" customHeight="1" x14ac:dyDescent="0.25">
      <c r="A21" s="11" t="s">
        <v>390</v>
      </c>
      <c r="B21" s="8" t="s">
        <v>168</v>
      </c>
      <c r="C21" s="7">
        <v>0</v>
      </c>
      <c r="D21" s="8">
        <v>180</v>
      </c>
      <c r="E21" s="36" t="s">
        <v>2</v>
      </c>
      <c r="F21" s="26">
        <f t="shared" si="0"/>
        <v>0</v>
      </c>
      <c r="G21" s="7"/>
      <c r="H21" s="26">
        <v>0</v>
      </c>
      <c r="I21" s="26">
        <v>0</v>
      </c>
    </row>
    <row r="22" spans="1:9" ht="24.95" customHeight="1" x14ac:dyDescent="0.25">
      <c r="A22" s="11" t="s">
        <v>391</v>
      </c>
      <c r="B22" s="8" t="s">
        <v>162</v>
      </c>
      <c r="C22" s="7">
        <v>0</v>
      </c>
      <c r="D22" s="8">
        <v>180</v>
      </c>
      <c r="E22" s="36" t="s">
        <v>2</v>
      </c>
      <c r="F22" s="26">
        <f t="shared" si="0"/>
        <v>0</v>
      </c>
      <c r="G22" s="7"/>
      <c r="H22" s="26">
        <v>0</v>
      </c>
      <c r="I22" s="26">
        <v>0</v>
      </c>
    </row>
    <row r="23" spans="1:9" ht="24.95" customHeight="1" x14ac:dyDescent="0.25">
      <c r="A23" s="11" t="s">
        <v>392</v>
      </c>
      <c r="B23" s="8" t="s">
        <v>658</v>
      </c>
      <c r="C23" s="7">
        <v>0</v>
      </c>
      <c r="D23" s="8">
        <v>60</v>
      </c>
      <c r="E23" s="36" t="s">
        <v>2</v>
      </c>
      <c r="F23" s="26">
        <f t="shared" si="0"/>
        <v>0</v>
      </c>
      <c r="G23" s="7"/>
      <c r="H23" s="26">
        <v>0</v>
      </c>
      <c r="I23" s="26">
        <v>0</v>
      </c>
    </row>
    <row r="24" spans="1:9" ht="24.95" customHeight="1" x14ac:dyDescent="0.25">
      <c r="A24" s="11" t="s">
        <v>393</v>
      </c>
      <c r="B24" s="8" t="s">
        <v>659</v>
      </c>
      <c r="C24" s="7">
        <v>0</v>
      </c>
      <c r="D24" s="8">
        <v>60</v>
      </c>
      <c r="E24" s="36" t="s">
        <v>2</v>
      </c>
      <c r="F24" s="26">
        <f t="shared" si="0"/>
        <v>0</v>
      </c>
      <c r="G24" s="7"/>
      <c r="H24" s="26">
        <v>0</v>
      </c>
      <c r="I24" s="26">
        <v>0</v>
      </c>
    </row>
    <row r="25" spans="1:9" ht="24.95" customHeight="1" x14ac:dyDescent="0.25">
      <c r="A25" s="11" t="s">
        <v>394</v>
      </c>
      <c r="B25" s="8" t="s">
        <v>166</v>
      </c>
      <c r="C25" s="7">
        <v>0</v>
      </c>
      <c r="D25" s="8">
        <v>45</v>
      </c>
      <c r="E25" s="36" t="s">
        <v>2</v>
      </c>
      <c r="F25" s="26">
        <f t="shared" si="0"/>
        <v>0</v>
      </c>
      <c r="G25" s="7"/>
      <c r="H25" s="26">
        <v>0</v>
      </c>
      <c r="I25" s="26">
        <v>0</v>
      </c>
    </row>
    <row r="26" spans="1:9" ht="24.95" customHeight="1" x14ac:dyDescent="0.25">
      <c r="A26" s="11" t="s">
        <v>395</v>
      </c>
      <c r="B26" s="8" t="s">
        <v>198</v>
      </c>
      <c r="C26" s="7">
        <v>0</v>
      </c>
      <c r="D26" s="8">
        <v>30</v>
      </c>
      <c r="E26" s="36" t="s">
        <v>2</v>
      </c>
      <c r="F26" s="26">
        <f t="shared" si="0"/>
        <v>0</v>
      </c>
      <c r="G26" s="7"/>
      <c r="H26" s="26">
        <v>0</v>
      </c>
      <c r="I26" s="26">
        <v>0</v>
      </c>
    </row>
    <row r="27" spans="1:9" ht="24.95" customHeight="1" x14ac:dyDescent="0.25">
      <c r="A27" s="11" t="s">
        <v>396</v>
      </c>
      <c r="B27" s="8" t="s">
        <v>171</v>
      </c>
      <c r="C27" s="7">
        <v>0</v>
      </c>
      <c r="D27" s="8">
        <v>150</v>
      </c>
      <c r="E27" s="36" t="s">
        <v>2</v>
      </c>
      <c r="F27" s="26">
        <f t="shared" si="0"/>
        <v>0</v>
      </c>
      <c r="G27" s="7"/>
      <c r="H27" s="26">
        <v>0</v>
      </c>
      <c r="I27" s="26">
        <v>0</v>
      </c>
    </row>
    <row r="28" spans="1:9" ht="24.95" customHeight="1" x14ac:dyDescent="0.25">
      <c r="A28" s="11" t="s">
        <v>397</v>
      </c>
      <c r="B28" s="8" t="s">
        <v>197</v>
      </c>
      <c r="C28" s="7">
        <v>0</v>
      </c>
      <c r="D28" s="8">
        <v>40</v>
      </c>
      <c r="E28" s="36" t="s">
        <v>2</v>
      </c>
      <c r="F28" s="26">
        <f t="shared" si="0"/>
        <v>0</v>
      </c>
      <c r="G28" s="7"/>
      <c r="H28" s="26">
        <v>0</v>
      </c>
      <c r="I28" s="26">
        <v>0</v>
      </c>
    </row>
    <row r="29" spans="1:9" ht="24.95" customHeight="1" x14ac:dyDescent="0.25">
      <c r="A29" s="11" t="s">
        <v>398</v>
      </c>
      <c r="B29" s="8" t="s">
        <v>183</v>
      </c>
      <c r="C29" s="7">
        <v>0</v>
      </c>
      <c r="D29" s="8">
        <v>10</v>
      </c>
      <c r="E29" s="36" t="s">
        <v>2</v>
      </c>
      <c r="F29" s="26">
        <f t="shared" si="0"/>
        <v>0</v>
      </c>
      <c r="G29" s="7"/>
      <c r="H29" s="26">
        <v>0</v>
      </c>
      <c r="I29" s="26">
        <v>0</v>
      </c>
    </row>
    <row r="30" spans="1:9" ht="24.95" customHeight="1" x14ac:dyDescent="0.25">
      <c r="A30" s="11" t="s">
        <v>399</v>
      </c>
      <c r="B30" s="8" t="s">
        <v>200</v>
      </c>
      <c r="C30" s="7">
        <v>0</v>
      </c>
      <c r="D30" s="8">
        <v>120</v>
      </c>
      <c r="E30" s="36" t="s">
        <v>2</v>
      </c>
      <c r="F30" s="26">
        <f t="shared" si="0"/>
        <v>0</v>
      </c>
      <c r="G30" s="7"/>
      <c r="H30" s="26">
        <v>0</v>
      </c>
      <c r="I30" s="26">
        <v>0</v>
      </c>
    </row>
    <row r="31" spans="1:9" ht="24.95" customHeight="1" x14ac:dyDescent="0.25">
      <c r="A31" s="11" t="s">
        <v>400</v>
      </c>
      <c r="B31" s="8" t="s">
        <v>660</v>
      </c>
      <c r="C31" s="7">
        <v>0</v>
      </c>
      <c r="D31" s="8">
        <v>80</v>
      </c>
      <c r="E31" s="36" t="s">
        <v>2</v>
      </c>
      <c r="F31" s="26">
        <f t="shared" si="0"/>
        <v>0</v>
      </c>
      <c r="G31" s="7"/>
      <c r="H31" s="26">
        <v>0</v>
      </c>
      <c r="I31" s="26">
        <v>0</v>
      </c>
    </row>
    <row r="32" spans="1:9" ht="24.95" customHeight="1" x14ac:dyDescent="0.25">
      <c r="A32" s="11" t="s">
        <v>401</v>
      </c>
      <c r="B32" s="8" t="s">
        <v>178</v>
      </c>
      <c r="C32" s="7">
        <v>0</v>
      </c>
      <c r="D32" s="8">
        <v>90</v>
      </c>
      <c r="E32" s="36" t="s">
        <v>2</v>
      </c>
      <c r="F32" s="26">
        <f t="shared" si="0"/>
        <v>0</v>
      </c>
      <c r="G32" s="7"/>
      <c r="H32" s="26">
        <v>0</v>
      </c>
      <c r="I32" s="26">
        <v>0</v>
      </c>
    </row>
    <row r="33" spans="1:9" ht="24.95" customHeight="1" x14ac:dyDescent="0.25">
      <c r="A33" s="11" t="s">
        <v>402</v>
      </c>
      <c r="B33" s="8" t="s">
        <v>193</v>
      </c>
      <c r="C33" s="7">
        <v>0</v>
      </c>
      <c r="D33" s="8">
        <v>20</v>
      </c>
      <c r="E33" s="36" t="s">
        <v>2</v>
      </c>
      <c r="F33" s="26">
        <f t="shared" si="0"/>
        <v>0</v>
      </c>
      <c r="G33" s="7"/>
      <c r="H33" s="26">
        <v>0</v>
      </c>
      <c r="I33" s="26">
        <v>0</v>
      </c>
    </row>
    <row r="34" spans="1:9" ht="24.95" customHeight="1" x14ac:dyDescent="0.25">
      <c r="A34" s="11" t="s">
        <v>403</v>
      </c>
      <c r="B34" s="21" t="s">
        <v>165</v>
      </c>
      <c r="C34" s="7">
        <v>0</v>
      </c>
      <c r="D34" s="21">
        <v>70</v>
      </c>
      <c r="E34" s="36" t="s">
        <v>2</v>
      </c>
      <c r="F34" s="26">
        <f t="shared" si="0"/>
        <v>0</v>
      </c>
      <c r="G34" s="7"/>
      <c r="H34" s="26">
        <v>0</v>
      </c>
      <c r="I34" s="26">
        <v>0</v>
      </c>
    </row>
    <row r="35" spans="1:9" ht="24.95" customHeight="1" x14ac:dyDescent="0.25">
      <c r="A35" s="11" t="s">
        <v>404</v>
      </c>
      <c r="B35" s="8" t="s">
        <v>164</v>
      </c>
      <c r="C35" s="7">
        <v>0</v>
      </c>
      <c r="D35" s="8">
        <v>15</v>
      </c>
      <c r="E35" s="36" t="s">
        <v>2</v>
      </c>
      <c r="F35" s="26">
        <f t="shared" si="0"/>
        <v>0</v>
      </c>
      <c r="G35" s="7"/>
      <c r="H35" s="26">
        <v>0</v>
      </c>
      <c r="I35" s="26">
        <v>0</v>
      </c>
    </row>
    <row r="36" spans="1:9" ht="24.95" customHeight="1" x14ac:dyDescent="0.25">
      <c r="A36" s="11" t="s">
        <v>405</v>
      </c>
      <c r="B36" s="8" t="s">
        <v>170</v>
      </c>
      <c r="C36" s="7">
        <v>0</v>
      </c>
      <c r="D36" s="8">
        <v>30</v>
      </c>
      <c r="E36" s="36" t="s">
        <v>2</v>
      </c>
      <c r="F36" s="26">
        <f t="shared" si="0"/>
        <v>0</v>
      </c>
      <c r="G36" s="7"/>
      <c r="H36" s="26">
        <v>0</v>
      </c>
      <c r="I36" s="26">
        <v>0</v>
      </c>
    </row>
    <row r="37" spans="1:9" x14ac:dyDescent="0.25">
      <c r="B37" s="51" t="s">
        <v>256</v>
      </c>
      <c r="C37" s="51"/>
      <c r="D37" s="51"/>
      <c r="E37" s="51"/>
      <c r="F37" s="9">
        <f>+SUM(F7:F36)</f>
        <v>0</v>
      </c>
    </row>
    <row r="38" spans="1:9" x14ac:dyDescent="0.25">
      <c r="B38" s="51" t="s">
        <v>258</v>
      </c>
      <c r="C38" s="51"/>
      <c r="D38" s="51"/>
      <c r="E38" s="51"/>
      <c r="F38" s="9">
        <f>+F37*0.055</f>
        <v>0</v>
      </c>
    </row>
    <row r="39" spans="1:9" x14ac:dyDescent="0.25">
      <c r="B39" s="51" t="s">
        <v>257</v>
      </c>
      <c r="C39" s="51"/>
      <c r="D39" s="51"/>
      <c r="E39" s="51"/>
      <c r="F39" s="9">
        <f>+F37+F38</f>
        <v>0</v>
      </c>
    </row>
    <row r="41" spans="1:9" x14ac:dyDescent="0.25">
      <c r="B41" s="18" t="s">
        <v>266</v>
      </c>
      <c r="C41" s="19" t="s">
        <v>261</v>
      </c>
      <c r="D41" s="19" t="s">
        <v>262</v>
      </c>
      <c r="E41" s="19" t="s">
        <v>263</v>
      </c>
      <c r="F41" s="19" t="s">
        <v>264</v>
      </c>
      <c r="G41" s="20" t="s">
        <v>265</v>
      </c>
    </row>
    <row r="42" spans="1:9" x14ac:dyDescent="0.25">
      <c r="B42" s="18" t="s">
        <v>260</v>
      </c>
      <c r="C42" s="20" t="s">
        <v>261</v>
      </c>
      <c r="D42" s="20" t="s">
        <v>262</v>
      </c>
      <c r="E42" s="20" t="s">
        <v>263</v>
      </c>
      <c r="F42" s="20" t="s">
        <v>264</v>
      </c>
      <c r="G42" s="20" t="s">
        <v>265</v>
      </c>
    </row>
  </sheetData>
  <mergeCells count="5">
    <mergeCell ref="B37:E37"/>
    <mergeCell ref="B38:E38"/>
    <mergeCell ref="B39:E39"/>
    <mergeCell ref="A2:F2"/>
    <mergeCell ref="A4:F4"/>
  </mergeCells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3DDE-6A9C-454E-BD02-E96367B81E9D}">
  <dimension ref="A1:M13"/>
  <sheetViews>
    <sheetView workbookViewId="0">
      <selection activeCell="G6" sqref="G6:I7"/>
    </sheetView>
  </sheetViews>
  <sheetFormatPr baseColWidth="10" defaultColWidth="11.42578125" defaultRowHeight="15" x14ac:dyDescent="0.25"/>
  <cols>
    <col min="1" max="1" width="6.140625" style="1" customWidth="1"/>
    <col min="2" max="2" width="18.7109375" style="1" bestFit="1" customWidth="1"/>
    <col min="3" max="3" width="14.28515625" style="1" customWidth="1"/>
    <col min="4" max="4" width="17.7109375" style="1" customWidth="1"/>
    <col min="5" max="5" width="11.42578125" style="1"/>
    <col min="6" max="6" width="22.7109375" style="1" customWidth="1"/>
    <col min="7" max="7" width="28.85546875" style="1" customWidth="1"/>
    <col min="8" max="8" width="15.85546875" style="1" customWidth="1"/>
    <col min="9" max="9" width="16.140625" style="1" customWidth="1"/>
    <col min="10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645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45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  <c r="G6" s="3" t="s">
        <v>701</v>
      </c>
      <c r="H6" s="3" t="s">
        <v>702</v>
      </c>
      <c r="I6" s="3" t="s">
        <v>703</v>
      </c>
    </row>
    <row r="7" spans="1:13" ht="36.75" customHeight="1" x14ac:dyDescent="0.25">
      <c r="A7" s="11" t="s">
        <v>375</v>
      </c>
      <c r="B7" s="21" t="s">
        <v>700</v>
      </c>
      <c r="C7" s="7">
        <v>0</v>
      </c>
      <c r="D7" s="8">
        <v>600</v>
      </c>
      <c r="E7" s="28" t="s">
        <v>179</v>
      </c>
      <c r="F7" s="26">
        <f t="shared" ref="F7" si="0">+C7*D7</f>
        <v>0</v>
      </c>
      <c r="G7" s="7"/>
      <c r="H7" s="26">
        <v>0</v>
      </c>
      <c r="I7" s="26">
        <v>0</v>
      </c>
    </row>
    <row r="8" spans="1:13" x14ac:dyDescent="0.25">
      <c r="B8" s="51" t="s">
        <v>256</v>
      </c>
      <c r="C8" s="51"/>
      <c r="D8" s="51"/>
      <c r="E8" s="51"/>
      <c r="F8" s="9">
        <f>SUM(F7)</f>
        <v>0</v>
      </c>
    </row>
    <row r="9" spans="1:13" x14ac:dyDescent="0.25">
      <c r="B9" s="51" t="s">
        <v>258</v>
      </c>
      <c r="C9" s="51"/>
      <c r="D9" s="51"/>
      <c r="E9" s="51"/>
      <c r="F9" s="9">
        <f>+F8*0.055</f>
        <v>0</v>
      </c>
    </row>
    <row r="10" spans="1:13" x14ac:dyDescent="0.25">
      <c r="B10" s="51" t="s">
        <v>257</v>
      </c>
      <c r="C10" s="51"/>
      <c r="D10" s="51"/>
      <c r="E10" s="51"/>
      <c r="F10" s="9">
        <f>+F8+F9</f>
        <v>0</v>
      </c>
    </row>
    <row r="12" spans="1:13" x14ac:dyDescent="0.25">
      <c r="B12" s="18" t="s">
        <v>266</v>
      </c>
      <c r="C12" s="19" t="s">
        <v>261</v>
      </c>
      <c r="D12" s="19" t="s">
        <v>262</v>
      </c>
      <c r="E12" s="19" t="s">
        <v>263</v>
      </c>
      <c r="F12" s="19" t="s">
        <v>264</v>
      </c>
      <c r="G12" s="20" t="s">
        <v>265</v>
      </c>
    </row>
    <row r="13" spans="1:13" x14ac:dyDescent="0.25">
      <c r="B13" s="18" t="s">
        <v>260</v>
      </c>
      <c r="C13" s="20" t="s">
        <v>261</v>
      </c>
      <c r="D13" s="20" t="s">
        <v>262</v>
      </c>
      <c r="E13" s="20" t="s">
        <v>263</v>
      </c>
      <c r="F13" s="20" t="s">
        <v>264</v>
      </c>
      <c r="G13" s="20" t="s">
        <v>265</v>
      </c>
    </row>
  </sheetData>
  <mergeCells count="5">
    <mergeCell ref="B8:E8"/>
    <mergeCell ref="B9:E9"/>
    <mergeCell ref="B10:E10"/>
    <mergeCell ref="A2:F2"/>
    <mergeCell ref="A4:F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46BA-856C-47A0-A191-8837EA555D5C}">
  <dimension ref="A1:M20"/>
  <sheetViews>
    <sheetView workbookViewId="0">
      <selection activeCell="K20" sqref="K20"/>
    </sheetView>
  </sheetViews>
  <sheetFormatPr baseColWidth="10" defaultColWidth="11.42578125" defaultRowHeight="15" x14ac:dyDescent="0.25"/>
  <cols>
    <col min="1" max="1" width="5.7109375" style="1" customWidth="1"/>
    <col min="2" max="2" width="34.7109375" style="1" customWidth="1"/>
    <col min="3" max="3" width="16" style="1" customWidth="1"/>
    <col min="4" max="4" width="16.7109375" style="1" bestFit="1" customWidth="1"/>
    <col min="5" max="5" width="6.28515625" style="1" bestFit="1" customWidth="1"/>
    <col min="6" max="6" width="23.140625" style="1" customWidth="1"/>
    <col min="7" max="7" width="11.42578125" style="1"/>
    <col min="8" max="8" width="22.28515625" style="1" bestFit="1" customWidth="1"/>
    <col min="9" max="16384" width="11.42578125" style="1"/>
  </cols>
  <sheetData>
    <row r="1" spans="1:13" ht="6.75" customHeight="1" thickBot="1" x14ac:dyDescent="0.3">
      <c r="I1" s="2"/>
      <c r="J1" s="2"/>
      <c r="K1" s="2"/>
      <c r="L1" s="2"/>
      <c r="M1" s="2"/>
    </row>
    <row r="2" spans="1:13" ht="15.75" thickBot="1" x14ac:dyDescent="0.3">
      <c r="A2" s="52" t="s">
        <v>646</v>
      </c>
      <c r="B2" s="53"/>
      <c r="C2" s="53"/>
      <c r="D2" s="53"/>
      <c r="E2" s="53"/>
      <c r="F2" s="54"/>
      <c r="I2" s="2"/>
      <c r="J2" s="2"/>
      <c r="K2" s="2"/>
      <c r="L2" s="2"/>
      <c r="M2" s="2"/>
    </row>
    <row r="3" spans="1:13" ht="7.5" customHeight="1" thickBot="1" x14ac:dyDescent="0.3">
      <c r="I3" s="2"/>
      <c r="J3" s="2"/>
      <c r="K3" s="2"/>
      <c r="L3" s="2"/>
      <c r="M3" s="2"/>
    </row>
    <row r="4" spans="1:13" ht="15.75" thickBot="1" x14ac:dyDescent="0.3">
      <c r="A4" s="52" t="s">
        <v>299</v>
      </c>
      <c r="B4" s="53"/>
      <c r="C4" s="53"/>
      <c r="D4" s="53"/>
      <c r="E4" s="53"/>
      <c r="F4" s="54"/>
      <c r="I4" s="2"/>
      <c r="J4" s="2"/>
      <c r="K4" s="2"/>
      <c r="L4" s="2"/>
      <c r="M4" s="2"/>
    </row>
    <row r="5" spans="1:13" ht="6" customHeight="1" x14ac:dyDescent="0.25">
      <c r="I5" s="2"/>
      <c r="J5" s="2"/>
      <c r="K5" s="2"/>
      <c r="L5" s="2"/>
      <c r="M5" s="2"/>
    </row>
    <row r="6" spans="1:13" ht="30" x14ac:dyDescent="0.25">
      <c r="A6" s="13" t="s">
        <v>298</v>
      </c>
      <c r="B6" s="3" t="s">
        <v>205</v>
      </c>
      <c r="C6" s="3" t="s">
        <v>259</v>
      </c>
      <c r="D6" s="3" t="s">
        <v>203</v>
      </c>
      <c r="E6" s="4" t="s">
        <v>14</v>
      </c>
      <c r="F6" s="3" t="s">
        <v>256</v>
      </c>
    </row>
    <row r="7" spans="1:13" x14ac:dyDescent="0.25">
      <c r="A7" s="11" t="s">
        <v>367</v>
      </c>
      <c r="B7" s="21" t="s">
        <v>275</v>
      </c>
      <c r="C7" s="7">
        <v>0</v>
      </c>
      <c r="D7" s="8">
        <v>50</v>
      </c>
      <c r="E7" s="28" t="s">
        <v>2</v>
      </c>
      <c r="F7" s="26">
        <f t="shared" ref="F7:F14" si="0">+C7*D7</f>
        <v>0</v>
      </c>
    </row>
    <row r="8" spans="1:13" x14ac:dyDescent="0.25">
      <c r="A8" s="11" t="s">
        <v>368</v>
      </c>
      <c r="B8" s="21" t="s">
        <v>278</v>
      </c>
      <c r="C8" s="7">
        <v>0</v>
      </c>
      <c r="D8" s="8">
        <v>30</v>
      </c>
      <c r="E8" s="28" t="s">
        <v>2</v>
      </c>
      <c r="F8" s="26">
        <f t="shared" si="0"/>
        <v>0</v>
      </c>
    </row>
    <row r="9" spans="1:13" x14ac:dyDescent="0.25">
      <c r="A9" s="11" t="s">
        <v>369</v>
      </c>
      <c r="B9" s="8" t="s">
        <v>276</v>
      </c>
      <c r="C9" s="7">
        <v>0</v>
      </c>
      <c r="D9" s="8">
        <v>40</v>
      </c>
      <c r="E9" s="28" t="s">
        <v>2</v>
      </c>
      <c r="F9" s="26">
        <f t="shared" si="0"/>
        <v>0</v>
      </c>
    </row>
    <row r="10" spans="1:13" x14ac:dyDescent="0.25">
      <c r="A10" s="11" t="s">
        <v>370</v>
      </c>
      <c r="B10" s="8" t="s">
        <v>277</v>
      </c>
      <c r="C10" s="7">
        <v>0</v>
      </c>
      <c r="D10" s="8">
        <v>30</v>
      </c>
      <c r="E10" s="28" t="s">
        <v>2</v>
      </c>
      <c r="F10" s="26">
        <f t="shared" si="0"/>
        <v>0</v>
      </c>
    </row>
    <row r="11" spans="1:13" x14ac:dyDescent="0.25">
      <c r="A11" s="11" t="s">
        <v>371</v>
      </c>
      <c r="B11" s="21" t="s">
        <v>279</v>
      </c>
      <c r="C11" s="7">
        <v>0</v>
      </c>
      <c r="D11" s="8">
        <v>40</v>
      </c>
      <c r="E11" s="28" t="s">
        <v>2</v>
      </c>
      <c r="F11" s="26">
        <f t="shared" si="0"/>
        <v>0</v>
      </c>
    </row>
    <row r="12" spans="1:13" x14ac:dyDescent="0.25">
      <c r="A12" s="11" t="s">
        <v>372</v>
      </c>
      <c r="B12" s="21" t="s">
        <v>280</v>
      </c>
      <c r="C12" s="7">
        <v>0</v>
      </c>
      <c r="D12" s="8">
        <v>30</v>
      </c>
      <c r="E12" s="28" t="s">
        <v>2</v>
      </c>
      <c r="F12" s="26">
        <f t="shared" si="0"/>
        <v>0</v>
      </c>
    </row>
    <row r="13" spans="1:13" x14ac:dyDescent="0.25">
      <c r="A13" s="11" t="s">
        <v>373</v>
      </c>
      <c r="B13" s="21" t="s">
        <v>281</v>
      </c>
      <c r="C13" s="7">
        <v>0</v>
      </c>
      <c r="D13" s="8">
        <v>40</v>
      </c>
      <c r="E13" s="28" t="s">
        <v>2</v>
      </c>
      <c r="F13" s="26">
        <f t="shared" si="0"/>
        <v>0</v>
      </c>
    </row>
    <row r="14" spans="1:13" x14ac:dyDescent="0.25">
      <c r="A14" s="11" t="s">
        <v>374</v>
      </c>
      <c r="B14" s="21" t="s">
        <v>282</v>
      </c>
      <c r="C14" s="7">
        <v>0</v>
      </c>
      <c r="D14" s="8">
        <v>30</v>
      </c>
      <c r="E14" s="28" t="s">
        <v>2</v>
      </c>
      <c r="F14" s="26">
        <f t="shared" si="0"/>
        <v>0</v>
      </c>
    </row>
    <row r="15" spans="1:13" x14ac:dyDescent="0.25">
      <c r="B15" s="51" t="s">
        <v>256</v>
      </c>
      <c r="C15" s="51"/>
      <c r="D15" s="51"/>
      <c r="E15" s="51"/>
      <c r="F15" s="9">
        <f>SUM(F7:F14)</f>
        <v>0</v>
      </c>
    </row>
    <row r="16" spans="1:13" x14ac:dyDescent="0.25">
      <c r="B16" s="51" t="s">
        <v>258</v>
      </c>
      <c r="C16" s="51"/>
      <c r="D16" s="51"/>
      <c r="E16" s="51"/>
      <c r="F16" s="9">
        <f>+F15*0.055</f>
        <v>0</v>
      </c>
    </row>
    <row r="17" spans="2:7" x14ac:dyDescent="0.25">
      <c r="B17" s="51" t="s">
        <v>257</v>
      </c>
      <c r="C17" s="51"/>
      <c r="D17" s="51"/>
      <c r="E17" s="51"/>
      <c r="F17" s="9">
        <f>+F15+F16</f>
        <v>0</v>
      </c>
    </row>
    <row r="19" spans="2:7" x14ac:dyDescent="0.25">
      <c r="B19" s="18" t="s">
        <v>266</v>
      </c>
      <c r="C19" s="19" t="s">
        <v>261</v>
      </c>
      <c r="D19" s="19" t="s">
        <v>262</v>
      </c>
      <c r="E19" s="19" t="s">
        <v>263</v>
      </c>
      <c r="F19" s="19" t="s">
        <v>264</v>
      </c>
      <c r="G19" s="20" t="s">
        <v>265</v>
      </c>
    </row>
    <row r="20" spans="2:7" x14ac:dyDescent="0.25">
      <c r="B20" s="18" t="s">
        <v>260</v>
      </c>
      <c r="C20" s="20" t="s">
        <v>261</v>
      </c>
      <c r="D20" s="20" t="s">
        <v>262</v>
      </c>
      <c r="E20" s="20" t="s">
        <v>263</v>
      </c>
      <c r="F20" s="20" t="s">
        <v>264</v>
      </c>
      <c r="G20" s="20" t="s">
        <v>265</v>
      </c>
    </row>
  </sheetData>
  <mergeCells count="5">
    <mergeCell ref="B15:E15"/>
    <mergeCell ref="B16:E16"/>
    <mergeCell ref="B17:E17"/>
    <mergeCell ref="A2:F2"/>
    <mergeCell ref="A4:F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24</vt:i4>
      </vt:variant>
    </vt:vector>
  </HeadingPairs>
  <TitlesOfParts>
    <vt:vector size="24" baseType="lpstr">
      <vt:lpstr>L1 fruit</vt:lpstr>
      <vt:lpstr>L2 fruits_AB</vt:lpstr>
      <vt:lpstr>L3 lég</vt:lpstr>
      <vt:lpstr>L4 lég_AB</vt:lpstr>
      <vt:lpstr>L5 ovin</vt:lpstr>
      <vt:lpstr>L6 ovin_AB</vt:lpstr>
      <vt:lpstr>L7 bovin</vt:lpstr>
      <vt:lpstr>L8 bovin_AB</vt:lpstr>
      <vt:lpstr>L9 porc</vt:lpstr>
      <vt:lpstr>L10 porc_AB</vt:lpstr>
      <vt:lpstr>L11 vol</vt:lpstr>
      <vt:lpstr>L12 vol_AB</vt:lpstr>
      <vt:lpstr>L13_legumin_huile_AB</vt:lpstr>
      <vt:lpstr>L14_pate_fraich_ARTISANAL</vt:lpstr>
      <vt:lpstr>L15_ yaourt_ab_fermiers</vt:lpstr>
      <vt:lpstr>L16_from_artisanal</vt:lpstr>
      <vt:lpstr>L17_from_artisanal _ab</vt:lpstr>
      <vt:lpstr>L18_PRODUIT_LAITIER_AB</vt:lpstr>
      <vt:lpstr>L19_EPICERIE</vt:lpstr>
      <vt:lpstr>L20_EPICERIE_AB</vt:lpstr>
      <vt:lpstr>L21_surg</vt:lpstr>
      <vt:lpstr>L22_surg AB</vt:lpstr>
      <vt:lpstr>L23_glaces_artisanales</vt:lpstr>
      <vt:lpstr>L24_poisson_frais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</dc:creator>
  <cp:lastModifiedBy>Severine PONS</cp:lastModifiedBy>
  <dcterms:created xsi:type="dcterms:W3CDTF">2025-02-28T13:43:49Z</dcterms:created>
  <dcterms:modified xsi:type="dcterms:W3CDTF">2025-10-21T13:23:52Z</dcterms:modified>
</cp:coreProperties>
</file>